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ml-my.sharepoint.com/personal/david_oliveira_nannai_com_br/Documents/david.oliveira/Documentos/DOCUMENTOS HOTEIS/DOC MURO ALTO/CONTROLE DE CUSTOS E DESPERDICIO NANNAI/CONTROLE DE PRODUÇÃO PADARIA/"/>
    </mc:Choice>
  </mc:AlternateContent>
  <xr:revisionPtr revIDLastSave="755" documentId="8_{7F7DF05E-6F9B-42A6-9BDD-036CD21C0FB7}" xr6:coauthVersionLast="47" xr6:coauthVersionMax="47" xr10:uidLastSave="{2BDB91DC-EFE2-462F-A278-080B974E951C}"/>
  <bookViews>
    <workbookView xWindow="-110" yWindow="-110" windowWidth="19420" windowHeight="11500" firstSheet="4" activeTab="6" xr2:uid="{00000000-000D-0000-FFFF-FFFF00000000}"/>
  </bookViews>
  <sheets>
    <sheet name="PREÇOS" sheetId="14" r:id="rId1"/>
    <sheet name="DIA 1" sheetId="8" r:id="rId2"/>
    <sheet name="DIA 2" sheetId="15" r:id="rId3"/>
    <sheet name="DIA 3" sheetId="16" r:id="rId4"/>
    <sheet name="DIA 4" sheetId="17" r:id="rId5"/>
    <sheet name="DIA 5" sheetId="18" r:id="rId6"/>
    <sheet name="DIA 6" sheetId="19" r:id="rId7"/>
    <sheet name="DIA 7" sheetId="20" r:id="rId8"/>
    <sheet name="DIA 8" sheetId="21" r:id="rId9"/>
    <sheet name="DIA 9" sheetId="22" r:id="rId10"/>
    <sheet name="DIA 10" sheetId="23" r:id="rId11"/>
    <sheet name="DIA 11" sheetId="24" r:id="rId12"/>
    <sheet name="DIA 12" sheetId="25" r:id="rId13"/>
    <sheet name="DIA 13" sheetId="26" r:id="rId14"/>
    <sheet name="DIA 14" sheetId="27" r:id="rId15"/>
    <sheet name="DIA 15" sheetId="28" r:id="rId16"/>
    <sheet name="DIA 16" sheetId="29" r:id="rId17"/>
    <sheet name="DIA 17" sheetId="30" r:id="rId18"/>
    <sheet name="DIA 18" sheetId="31" r:id="rId19"/>
    <sheet name="DIA 19" sheetId="32" r:id="rId20"/>
    <sheet name="DIA 20" sheetId="33" r:id="rId21"/>
    <sheet name="DIA 21" sheetId="34" r:id="rId22"/>
    <sheet name="DIA 22" sheetId="35" r:id="rId23"/>
    <sheet name="DIA 23" sheetId="36" r:id="rId24"/>
    <sheet name="DIA 24" sheetId="37" r:id="rId25"/>
    <sheet name="DIA 25" sheetId="38" r:id="rId26"/>
    <sheet name="DIA 26" sheetId="39" r:id="rId27"/>
    <sheet name="DIA 27" sheetId="40" r:id="rId28"/>
    <sheet name="DIA 28" sheetId="41" r:id="rId29"/>
    <sheet name="DIA 29" sheetId="42" r:id="rId30"/>
    <sheet name="DIA 30" sheetId="43" r:id="rId31"/>
    <sheet name="RESUMO MENSAL" sheetId="46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43" l="1"/>
  <c r="A55" i="43"/>
  <c r="C55" i="43" s="1"/>
  <c r="B54" i="43"/>
  <c r="A54" i="43"/>
  <c r="C47" i="43"/>
  <c r="C46" i="43"/>
  <c r="B45" i="43"/>
  <c r="A45" i="43"/>
  <c r="C45" i="43" s="1"/>
  <c r="B44" i="43"/>
  <c r="A44" i="43"/>
  <c r="B43" i="43"/>
  <c r="A43" i="43"/>
  <c r="C43" i="43" s="1"/>
  <c r="B36" i="43"/>
  <c r="A36" i="43"/>
  <c r="C36" i="43" s="1"/>
  <c r="B35" i="43"/>
  <c r="A35" i="43"/>
  <c r="C35" i="43" s="1"/>
  <c r="B34" i="43"/>
  <c r="A34" i="43"/>
  <c r="B32" i="43"/>
  <c r="A32" i="43"/>
  <c r="B31" i="43"/>
  <c r="A31" i="43"/>
  <c r="C31" i="43" s="1"/>
  <c r="B30" i="43"/>
  <c r="A30" i="43"/>
  <c r="B29" i="43"/>
  <c r="A29" i="43"/>
  <c r="C29" i="43" s="1"/>
  <c r="B28" i="43"/>
  <c r="A28" i="43"/>
  <c r="C28" i="43" s="1"/>
  <c r="B27" i="43"/>
  <c r="A27" i="43"/>
  <c r="C27" i="43" s="1"/>
  <c r="B26" i="43"/>
  <c r="A26" i="43"/>
  <c r="C26" i="43" s="1"/>
  <c r="B24" i="43"/>
  <c r="A24" i="43"/>
  <c r="B23" i="43"/>
  <c r="A23" i="43"/>
  <c r="C23" i="43" s="1"/>
  <c r="B22" i="43"/>
  <c r="A22" i="43"/>
  <c r="B21" i="43"/>
  <c r="A21" i="43"/>
  <c r="C21" i="43" s="1"/>
  <c r="B20" i="43"/>
  <c r="A20" i="43"/>
  <c r="C20" i="43" s="1"/>
  <c r="B19" i="43"/>
  <c r="A19" i="43"/>
  <c r="C19" i="43" s="1"/>
  <c r="B18" i="43"/>
  <c r="A18" i="43"/>
  <c r="B17" i="43"/>
  <c r="A17" i="43"/>
  <c r="B16" i="43"/>
  <c r="A16" i="43"/>
  <c r="C16" i="43" s="1"/>
  <c r="B15" i="43"/>
  <c r="A15" i="43"/>
  <c r="B14" i="43"/>
  <c r="A14" i="43"/>
  <c r="C14" i="43" s="1"/>
  <c r="B13" i="43"/>
  <c r="A13" i="43"/>
  <c r="C13" i="43" s="1"/>
  <c r="B12" i="43"/>
  <c r="A12" i="43"/>
  <c r="B11" i="43"/>
  <c r="A11" i="43"/>
  <c r="B10" i="43"/>
  <c r="A10" i="43"/>
  <c r="C10" i="43" s="1"/>
  <c r="B9" i="43"/>
  <c r="A9" i="43"/>
  <c r="B55" i="42"/>
  <c r="A55" i="42"/>
  <c r="C55" i="42" s="1"/>
  <c r="B54" i="42"/>
  <c r="A54" i="42"/>
  <c r="C54" i="42" s="1"/>
  <c r="C58" i="42" s="1"/>
  <c r="F45" i="46" s="1"/>
  <c r="C47" i="42"/>
  <c r="C46" i="42"/>
  <c r="B45" i="42"/>
  <c r="A45" i="42"/>
  <c r="B44" i="42"/>
  <c r="A44" i="42"/>
  <c r="B43" i="42"/>
  <c r="A43" i="42"/>
  <c r="C43" i="42" s="1"/>
  <c r="B36" i="42"/>
  <c r="A36" i="42"/>
  <c r="B35" i="42"/>
  <c r="A35" i="42"/>
  <c r="C35" i="42" s="1"/>
  <c r="B34" i="42"/>
  <c r="A34" i="42"/>
  <c r="B32" i="42"/>
  <c r="A32" i="42"/>
  <c r="C32" i="42" s="1"/>
  <c r="B31" i="42"/>
  <c r="A31" i="42"/>
  <c r="B30" i="42"/>
  <c r="A30" i="42"/>
  <c r="B29" i="42"/>
  <c r="A29" i="42"/>
  <c r="C29" i="42" s="1"/>
  <c r="B28" i="42"/>
  <c r="A28" i="42"/>
  <c r="B27" i="42"/>
  <c r="A27" i="42"/>
  <c r="C27" i="42" s="1"/>
  <c r="B26" i="42"/>
  <c r="A26" i="42"/>
  <c r="C26" i="42" s="1"/>
  <c r="B24" i="42"/>
  <c r="A24" i="42"/>
  <c r="C24" i="42" s="1"/>
  <c r="B23" i="42"/>
  <c r="A23" i="42"/>
  <c r="B22" i="42"/>
  <c r="A22" i="42"/>
  <c r="B21" i="42"/>
  <c r="A21" i="42"/>
  <c r="C21" i="42" s="1"/>
  <c r="B20" i="42"/>
  <c r="A20" i="42"/>
  <c r="B19" i="42"/>
  <c r="A19" i="42"/>
  <c r="C19" i="42" s="1"/>
  <c r="B18" i="42"/>
  <c r="A18" i="42"/>
  <c r="B17" i="42"/>
  <c r="A17" i="42"/>
  <c r="C17" i="42" s="1"/>
  <c r="B16" i="42"/>
  <c r="A16" i="42"/>
  <c r="B15" i="42"/>
  <c r="A15" i="42"/>
  <c r="B14" i="42"/>
  <c r="A14" i="42"/>
  <c r="C14" i="42" s="1"/>
  <c r="B13" i="42"/>
  <c r="A13" i="42"/>
  <c r="C13" i="42" s="1"/>
  <c r="B12" i="42"/>
  <c r="A12" i="42"/>
  <c r="C12" i="42" s="1"/>
  <c r="B11" i="42"/>
  <c r="A11" i="42"/>
  <c r="C11" i="42" s="1"/>
  <c r="B10" i="42"/>
  <c r="A10" i="42"/>
  <c r="C10" i="42" s="1"/>
  <c r="B9" i="42"/>
  <c r="A9" i="42"/>
  <c r="C9" i="42" s="1"/>
  <c r="B55" i="41"/>
  <c r="A55" i="41"/>
  <c r="B54" i="41"/>
  <c r="A54" i="41"/>
  <c r="C54" i="41" s="1"/>
  <c r="C47" i="41"/>
  <c r="C46" i="41"/>
  <c r="B45" i="41"/>
  <c r="A45" i="41"/>
  <c r="C45" i="41" s="1"/>
  <c r="B44" i="41"/>
  <c r="A44" i="41"/>
  <c r="C44" i="41" s="1"/>
  <c r="B43" i="41"/>
  <c r="A43" i="41"/>
  <c r="C43" i="41" s="1"/>
  <c r="B36" i="41"/>
  <c r="A36" i="41"/>
  <c r="C36" i="41" s="1"/>
  <c r="B35" i="41"/>
  <c r="A35" i="41"/>
  <c r="B34" i="41"/>
  <c r="A34" i="41"/>
  <c r="B32" i="41"/>
  <c r="A32" i="41"/>
  <c r="B31" i="41"/>
  <c r="A31" i="41"/>
  <c r="C31" i="41" s="1"/>
  <c r="B30" i="41"/>
  <c r="A30" i="41"/>
  <c r="C30" i="41" s="1"/>
  <c r="B29" i="41"/>
  <c r="A29" i="41"/>
  <c r="C29" i="41" s="1"/>
  <c r="B28" i="41"/>
  <c r="A28" i="41"/>
  <c r="C28" i="41" s="1"/>
  <c r="B27" i="41"/>
  <c r="A27" i="41"/>
  <c r="C27" i="41" s="1"/>
  <c r="B26" i="41"/>
  <c r="A26" i="41"/>
  <c r="B24" i="41"/>
  <c r="A24" i="41"/>
  <c r="C24" i="41" s="1"/>
  <c r="B23" i="41"/>
  <c r="A23" i="41"/>
  <c r="C23" i="41" s="1"/>
  <c r="B22" i="41"/>
  <c r="A22" i="41"/>
  <c r="C22" i="41" s="1"/>
  <c r="B21" i="41"/>
  <c r="A21" i="41"/>
  <c r="B20" i="41"/>
  <c r="A20" i="41"/>
  <c r="B19" i="41"/>
  <c r="A19" i="41"/>
  <c r="C19" i="41" s="1"/>
  <c r="B18" i="41"/>
  <c r="A18" i="41"/>
  <c r="B17" i="41"/>
  <c r="A17" i="41"/>
  <c r="C17" i="41" s="1"/>
  <c r="B16" i="41"/>
  <c r="A16" i="41"/>
  <c r="C16" i="41" s="1"/>
  <c r="B15" i="41"/>
  <c r="A15" i="41"/>
  <c r="C15" i="41" s="1"/>
  <c r="B14" i="41"/>
  <c r="A14" i="41"/>
  <c r="B13" i="41"/>
  <c r="C13" i="41" s="1"/>
  <c r="A13" i="41"/>
  <c r="B12" i="41"/>
  <c r="A12" i="41"/>
  <c r="C12" i="41" s="1"/>
  <c r="B11" i="41"/>
  <c r="A11" i="41"/>
  <c r="B10" i="41"/>
  <c r="A10" i="41"/>
  <c r="C10" i="41" s="1"/>
  <c r="B9" i="41"/>
  <c r="A9" i="41"/>
  <c r="C9" i="41" s="1"/>
  <c r="B55" i="40"/>
  <c r="A55" i="40"/>
  <c r="C55" i="40" s="1"/>
  <c r="B54" i="40"/>
  <c r="A54" i="40"/>
  <c r="C54" i="40" s="1"/>
  <c r="C47" i="40"/>
  <c r="C46" i="40"/>
  <c r="B45" i="40"/>
  <c r="A45" i="40"/>
  <c r="C45" i="40" s="1"/>
  <c r="B44" i="40"/>
  <c r="A44" i="40"/>
  <c r="B43" i="40"/>
  <c r="A43" i="40"/>
  <c r="C43" i="40" s="1"/>
  <c r="B36" i="40"/>
  <c r="A36" i="40"/>
  <c r="C36" i="40" s="1"/>
  <c r="B35" i="40"/>
  <c r="A35" i="40"/>
  <c r="C35" i="40" s="1"/>
  <c r="B34" i="40"/>
  <c r="A34" i="40"/>
  <c r="C34" i="40" s="1"/>
  <c r="B32" i="40"/>
  <c r="A32" i="40"/>
  <c r="B31" i="40"/>
  <c r="A31" i="40"/>
  <c r="C31" i="40" s="1"/>
  <c r="B30" i="40"/>
  <c r="A30" i="40"/>
  <c r="B29" i="40"/>
  <c r="A29" i="40"/>
  <c r="C29" i="40" s="1"/>
  <c r="B28" i="40"/>
  <c r="A28" i="40"/>
  <c r="C28" i="40" s="1"/>
  <c r="B27" i="40"/>
  <c r="A27" i="40"/>
  <c r="C27" i="40" s="1"/>
  <c r="B26" i="40"/>
  <c r="A26" i="40"/>
  <c r="C26" i="40" s="1"/>
  <c r="B24" i="40"/>
  <c r="A24" i="40"/>
  <c r="B23" i="40"/>
  <c r="A23" i="40"/>
  <c r="C23" i="40" s="1"/>
  <c r="B22" i="40"/>
  <c r="A22" i="40"/>
  <c r="B21" i="40"/>
  <c r="A21" i="40"/>
  <c r="C21" i="40" s="1"/>
  <c r="B20" i="40"/>
  <c r="A20" i="40"/>
  <c r="C20" i="40" s="1"/>
  <c r="B19" i="40"/>
  <c r="A19" i="40"/>
  <c r="C19" i="40" s="1"/>
  <c r="B18" i="40"/>
  <c r="A18" i="40"/>
  <c r="B17" i="40"/>
  <c r="A17" i="40"/>
  <c r="B16" i="40"/>
  <c r="A16" i="40"/>
  <c r="C16" i="40" s="1"/>
  <c r="B15" i="40"/>
  <c r="A15" i="40"/>
  <c r="B14" i="40"/>
  <c r="A14" i="40"/>
  <c r="C14" i="40" s="1"/>
  <c r="B13" i="40"/>
  <c r="A13" i="40"/>
  <c r="C13" i="40" s="1"/>
  <c r="B12" i="40"/>
  <c r="A12" i="40"/>
  <c r="C12" i="40" s="1"/>
  <c r="B11" i="40"/>
  <c r="A11" i="40"/>
  <c r="C11" i="40" s="1"/>
  <c r="B10" i="40"/>
  <c r="A10" i="40"/>
  <c r="B9" i="40"/>
  <c r="A9" i="40"/>
  <c r="C9" i="40" s="1"/>
  <c r="B55" i="39"/>
  <c r="A55" i="39"/>
  <c r="B54" i="39"/>
  <c r="A54" i="39"/>
  <c r="C54" i="39" s="1"/>
  <c r="C47" i="39"/>
  <c r="C46" i="39"/>
  <c r="B45" i="39"/>
  <c r="A45" i="39"/>
  <c r="C45" i="39" s="1"/>
  <c r="B44" i="39"/>
  <c r="A44" i="39"/>
  <c r="C44" i="39" s="1"/>
  <c r="B43" i="39"/>
  <c r="A43" i="39"/>
  <c r="B36" i="39"/>
  <c r="A36" i="39"/>
  <c r="C36" i="39" s="1"/>
  <c r="B35" i="39"/>
  <c r="A35" i="39"/>
  <c r="B34" i="39"/>
  <c r="A34" i="39"/>
  <c r="B32" i="39"/>
  <c r="A32" i="39"/>
  <c r="C32" i="39" s="1"/>
  <c r="B31" i="39"/>
  <c r="A31" i="39"/>
  <c r="C31" i="39" s="1"/>
  <c r="B30" i="39"/>
  <c r="A30" i="39"/>
  <c r="C30" i="39" s="1"/>
  <c r="B29" i="39"/>
  <c r="A29" i="39"/>
  <c r="B28" i="39"/>
  <c r="A28" i="39"/>
  <c r="C28" i="39" s="1"/>
  <c r="B27" i="39"/>
  <c r="A27" i="39"/>
  <c r="B26" i="39"/>
  <c r="A26" i="39"/>
  <c r="C26" i="39" s="1"/>
  <c r="B24" i="39"/>
  <c r="A24" i="39"/>
  <c r="C24" i="39" s="1"/>
  <c r="B23" i="39"/>
  <c r="A23" i="39"/>
  <c r="C23" i="39" s="1"/>
  <c r="B22" i="39"/>
  <c r="A22" i="39"/>
  <c r="C22" i="39" s="1"/>
  <c r="B21" i="39"/>
  <c r="A21" i="39"/>
  <c r="C21" i="39" s="1"/>
  <c r="B20" i="39"/>
  <c r="A20" i="39"/>
  <c r="B19" i="39"/>
  <c r="A19" i="39"/>
  <c r="C19" i="39" s="1"/>
  <c r="B18" i="39"/>
  <c r="A18" i="39"/>
  <c r="B17" i="39"/>
  <c r="A17" i="39"/>
  <c r="C17" i="39" s="1"/>
  <c r="B16" i="39"/>
  <c r="A16" i="39"/>
  <c r="B15" i="39"/>
  <c r="A15" i="39"/>
  <c r="C15" i="39" s="1"/>
  <c r="B14" i="39"/>
  <c r="A14" i="39"/>
  <c r="C14" i="39" s="1"/>
  <c r="B13" i="39"/>
  <c r="A13" i="39"/>
  <c r="B12" i="39"/>
  <c r="A12" i="39"/>
  <c r="C12" i="39" s="1"/>
  <c r="B11" i="39"/>
  <c r="A11" i="39"/>
  <c r="C11" i="39" s="1"/>
  <c r="B10" i="39"/>
  <c r="A10" i="39"/>
  <c r="C10" i="39" s="1"/>
  <c r="B9" i="39"/>
  <c r="A9" i="39"/>
  <c r="B55" i="38"/>
  <c r="A55" i="38"/>
  <c r="C55" i="38" s="1"/>
  <c r="B54" i="38"/>
  <c r="A54" i="38"/>
  <c r="C54" i="38" s="1"/>
  <c r="C58" i="38" s="1"/>
  <c r="F41" i="46" s="1"/>
  <c r="C47" i="38"/>
  <c r="C46" i="38"/>
  <c r="B45" i="38"/>
  <c r="A45" i="38"/>
  <c r="C45" i="38" s="1"/>
  <c r="B44" i="38"/>
  <c r="A44" i="38"/>
  <c r="C44" i="38" s="1"/>
  <c r="B43" i="38"/>
  <c r="A43" i="38"/>
  <c r="C43" i="38" s="1"/>
  <c r="B36" i="38"/>
  <c r="A36" i="38"/>
  <c r="B35" i="38"/>
  <c r="A35" i="38"/>
  <c r="C35" i="38" s="1"/>
  <c r="B34" i="38"/>
  <c r="A34" i="38"/>
  <c r="B32" i="38"/>
  <c r="A32" i="38"/>
  <c r="B31" i="38"/>
  <c r="A31" i="38"/>
  <c r="C31" i="38" s="1"/>
  <c r="B30" i="38"/>
  <c r="A30" i="38"/>
  <c r="C30" i="38" s="1"/>
  <c r="B29" i="38"/>
  <c r="A29" i="38"/>
  <c r="C29" i="38" s="1"/>
  <c r="B28" i="38"/>
  <c r="A28" i="38"/>
  <c r="B27" i="38"/>
  <c r="A27" i="38"/>
  <c r="C27" i="38" s="1"/>
  <c r="B26" i="38"/>
  <c r="A26" i="38"/>
  <c r="C26" i="38" s="1"/>
  <c r="B24" i="38"/>
  <c r="A24" i="38"/>
  <c r="B23" i="38"/>
  <c r="A23" i="38"/>
  <c r="C23" i="38" s="1"/>
  <c r="B22" i="38"/>
  <c r="A22" i="38"/>
  <c r="C22" i="38" s="1"/>
  <c r="B21" i="38"/>
  <c r="A21" i="38"/>
  <c r="C21" i="38" s="1"/>
  <c r="B20" i="38"/>
  <c r="A20" i="38"/>
  <c r="B19" i="38"/>
  <c r="A19" i="38"/>
  <c r="C19" i="38" s="1"/>
  <c r="B18" i="38"/>
  <c r="A18" i="38"/>
  <c r="B17" i="38"/>
  <c r="A17" i="38"/>
  <c r="B16" i="38"/>
  <c r="A16" i="38"/>
  <c r="C16" i="38" s="1"/>
  <c r="B15" i="38"/>
  <c r="A15" i="38"/>
  <c r="C15" i="38" s="1"/>
  <c r="B14" i="38"/>
  <c r="A14" i="38"/>
  <c r="C14" i="38" s="1"/>
  <c r="B13" i="38"/>
  <c r="A13" i="38"/>
  <c r="B12" i="38"/>
  <c r="A12" i="38"/>
  <c r="C12" i="38" s="1"/>
  <c r="B11" i="38"/>
  <c r="A11" i="38"/>
  <c r="C11" i="38" s="1"/>
  <c r="B10" i="38"/>
  <c r="A10" i="38"/>
  <c r="B9" i="38"/>
  <c r="A9" i="38"/>
  <c r="C9" i="38" s="1"/>
  <c r="B55" i="37"/>
  <c r="A55" i="37"/>
  <c r="B54" i="37"/>
  <c r="A54" i="37"/>
  <c r="C54" i="37" s="1"/>
  <c r="C47" i="37"/>
  <c r="C46" i="37"/>
  <c r="B45" i="37"/>
  <c r="A45" i="37"/>
  <c r="C45" i="37" s="1"/>
  <c r="B44" i="37"/>
  <c r="A44" i="37"/>
  <c r="C44" i="37" s="1"/>
  <c r="B43" i="37"/>
  <c r="A43" i="37"/>
  <c r="B36" i="37"/>
  <c r="A36" i="37"/>
  <c r="C36" i="37" s="1"/>
  <c r="B35" i="37"/>
  <c r="A35" i="37"/>
  <c r="C35" i="37" s="1"/>
  <c r="B34" i="37"/>
  <c r="A34" i="37"/>
  <c r="B32" i="37"/>
  <c r="A32" i="37"/>
  <c r="B31" i="37"/>
  <c r="A31" i="37"/>
  <c r="C31" i="37" s="1"/>
  <c r="B30" i="37"/>
  <c r="A30" i="37"/>
  <c r="C30" i="37" s="1"/>
  <c r="B29" i="37"/>
  <c r="A29" i="37"/>
  <c r="B28" i="37"/>
  <c r="A28" i="37"/>
  <c r="C28" i="37" s="1"/>
  <c r="B27" i="37"/>
  <c r="A27" i="37"/>
  <c r="C27" i="37" s="1"/>
  <c r="B26" i="37"/>
  <c r="A26" i="37"/>
  <c r="C26" i="37" s="1"/>
  <c r="B24" i="37"/>
  <c r="A24" i="37"/>
  <c r="B23" i="37"/>
  <c r="A23" i="37"/>
  <c r="C23" i="37" s="1"/>
  <c r="B22" i="37"/>
  <c r="A22" i="37"/>
  <c r="C22" i="37" s="1"/>
  <c r="B21" i="37"/>
  <c r="A21" i="37"/>
  <c r="B20" i="37"/>
  <c r="A20" i="37"/>
  <c r="C20" i="37" s="1"/>
  <c r="B19" i="37"/>
  <c r="A19" i="37"/>
  <c r="C19" i="37" s="1"/>
  <c r="B18" i="37"/>
  <c r="A18" i="37"/>
  <c r="B17" i="37"/>
  <c r="A17" i="37"/>
  <c r="B16" i="37"/>
  <c r="A16" i="37"/>
  <c r="C16" i="37" s="1"/>
  <c r="B15" i="37"/>
  <c r="A15" i="37"/>
  <c r="C15" i="37" s="1"/>
  <c r="B14" i="37"/>
  <c r="A14" i="37"/>
  <c r="B13" i="37"/>
  <c r="A13" i="37"/>
  <c r="C13" i="37" s="1"/>
  <c r="B12" i="37"/>
  <c r="A12" i="37"/>
  <c r="C12" i="37" s="1"/>
  <c r="B11" i="37"/>
  <c r="A11" i="37"/>
  <c r="C11" i="37" s="1"/>
  <c r="B10" i="37"/>
  <c r="A10" i="37"/>
  <c r="B9" i="37"/>
  <c r="A9" i="37"/>
  <c r="C9" i="37" s="1"/>
  <c r="B55" i="36"/>
  <c r="A55" i="36"/>
  <c r="C55" i="36" s="1"/>
  <c r="B54" i="36"/>
  <c r="A54" i="36"/>
  <c r="C47" i="36"/>
  <c r="C46" i="36"/>
  <c r="B45" i="36"/>
  <c r="A45" i="36"/>
  <c r="C45" i="36" s="1"/>
  <c r="B44" i="36"/>
  <c r="A44" i="36"/>
  <c r="C44" i="36" s="1"/>
  <c r="B43" i="36"/>
  <c r="A43" i="36"/>
  <c r="C43" i="36" s="1"/>
  <c r="B36" i="36"/>
  <c r="A36" i="36"/>
  <c r="B35" i="36"/>
  <c r="A35" i="36"/>
  <c r="C35" i="36" s="1"/>
  <c r="B34" i="36"/>
  <c r="A34" i="36"/>
  <c r="B32" i="36"/>
  <c r="A32" i="36"/>
  <c r="C32" i="36" s="1"/>
  <c r="B31" i="36"/>
  <c r="A31" i="36"/>
  <c r="C31" i="36" s="1"/>
  <c r="B30" i="36"/>
  <c r="A30" i="36"/>
  <c r="C30" i="36" s="1"/>
  <c r="B29" i="36"/>
  <c r="A29" i="36"/>
  <c r="C29" i="36" s="1"/>
  <c r="B28" i="36"/>
  <c r="A28" i="36"/>
  <c r="B27" i="36"/>
  <c r="A27" i="36"/>
  <c r="C27" i="36" s="1"/>
  <c r="B26" i="36"/>
  <c r="A26" i="36"/>
  <c r="B24" i="36"/>
  <c r="A24" i="36"/>
  <c r="C24" i="36" s="1"/>
  <c r="B23" i="36"/>
  <c r="A23" i="36"/>
  <c r="C23" i="36" s="1"/>
  <c r="B22" i="36"/>
  <c r="A22" i="36"/>
  <c r="C22" i="36" s="1"/>
  <c r="B21" i="36"/>
  <c r="A21" i="36"/>
  <c r="C21" i="36" s="1"/>
  <c r="B20" i="36"/>
  <c r="A20" i="36"/>
  <c r="B19" i="36"/>
  <c r="A19" i="36"/>
  <c r="C19" i="36" s="1"/>
  <c r="B18" i="36"/>
  <c r="C18" i="36" s="1"/>
  <c r="A18" i="36"/>
  <c r="B17" i="36"/>
  <c r="A17" i="36"/>
  <c r="C17" i="36" s="1"/>
  <c r="B16" i="36"/>
  <c r="A16" i="36"/>
  <c r="C16" i="36" s="1"/>
  <c r="B15" i="36"/>
  <c r="A15" i="36"/>
  <c r="C15" i="36" s="1"/>
  <c r="B14" i="36"/>
  <c r="A14" i="36"/>
  <c r="C14" i="36" s="1"/>
  <c r="B13" i="36"/>
  <c r="A13" i="36"/>
  <c r="C13" i="36" s="1"/>
  <c r="B12" i="36"/>
  <c r="A12" i="36"/>
  <c r="B11" i="36"/>
  <c r="A11" i="36"/>
  <c r="C11" i="36" s="1"/>
  <c r="B10" i="36"/>
  <c r="A10" i="36"/>
  <c r="C10" i="36" s="1"/>
  <c r="B9" i="36"/>
  <c r="A9" i="36"/>
  <c r="C9" i="36" s="1"/>
  <c r="B55" i="35"/>
  <c r="A55" i="35"/>
  <c r="B54" i="35"/>
  <c r="A54" i="35"/>
  <c r="C54" i="35" s="1"/>
  <c r="C47" i="35"/>
  <c r="C46" i="35"/>
  <c r="B45" i="35"/>
  <c r="A45" i="35"/>
  <c r="B44" i="35"/>
  <c r="A44" i="35"/>
  <c r="C44" i="35" s="1"/>
  <c r="B43" i="35"/>
  <c r="A43" i="35"/>
  <c r="C43" i="35" s="1"/>
  <c r="B36" i="35"/>
  <c r="A36" i="35"/>
  <c r="C36" i="35" s="1"/>
  <c r="B35" i="35"/>
  <c r="A35" i="35"/>
  <c r="B34" i="35"/>
  <c r="A34" i="35"/>
  <c r="B32" i="35"/>
  <c r="A32" i="35"/>
  <c r="C32" i="35" s="1"/>
  <c r="B31" i="35"/>
  <c r="A31" i="35"/>
  <c r="B30" i="35"/>
  <c r="A30" i="35"/>
  <c r="C30" i="35" s="1"/>
  <c r="B29" i="35"/>
  <c r="A29" i="35"/>
  <c r="C29" i="35" s="1"/>
  <c r="B28" i="35"/>
  <c r="A28" i="35"/>
  <c r="C28" i="35" s="1"/>
  <c r="B27" i="35"/>
  <c r="A27" i="35"/>
  <c r="C27" i="35" s="1"/>
  <c r="B26" i="35"/>
  <c r="A26" i="35"/>
  <c r="B24" i="35"/>
  <c r="A24" i="35"/>
  <c r="C24" i="35" s="1"/>
  <c r="B23" i="35"/>
  <c r="A23" i="35"/>
  <c r="C23" i="35" s="1"/>
  <c r="B22" i="35"/>
  <c r="A22" i="35"/>
  <c r="C22" i="35" s="1"/>
  <c r="B21" i="35"/>
  <c r="A21" i="35"/>
  <c r="C21" i="35" s="1"/>
  <c r="B20" i="35"/>
  <c r="A20" i="35"/>
  <c r="B19" i="35"/>
  <c r="A19" i="35"/>
  <c r="C19" i="35" s="1"/>
  <c r="B18" i="35"/>
  <c r="A18" i="35"/>
  <c r="B17" i="35"/>
  <c r="A17" i="35"/>
  <c r="B16" i="35"/>
  <c r="A16" i="35"/>
  <c r="C16" i="35" s="1"/>
  <c r="B15" i="35"/>
  <c r="A15" i="35"/>
  <c r="C15" i="35" s="1"/>
  <c r="B14" i="35"/>
  <c r="A14" i="35"/>
  <c r="C14" i="35" s="1"/>
  <c r="C13" i="35"/>
  <c r="B13" i="35"/>
  <c r="A13" i="35"/>
  <c r="B12" i="35"/>
  <c r="A12" i="35"/>
  <c r="B11" i="35"/>
  <c r="A11" i="35"/>
  <c r="C11" i="35" s="1"/>
  <c r="B10" i="35"/>
  <c r="A10" i="35"/>
  <c r="C10" i="35" s="1"/>
  <c r="B9" i="35"/>
  <c r="A9" i="35"/>
  <c r="C9" i="35" s="1"/>
  <c r="B55" i="34"/>
  <c r="A55" i="34"/>
  <c r="C55" i="34" s="1"/>
  <c r="B54" i="34"/>
  <c r="A54" i="34"/>
  <c r="C47" i="34"/>
  <c r="C46" i="34"/>
  <c r="B45" i="34"/>
  <c r="A45" i="34"/>
  <c r="B44" i="34"/>
  <c r="A44" i="34"/>
  <c r="C44" i="34" s="1"/>
  <c r="B43" i="34"/>
  <c r="A43" i="34"/>
  <c r="B36" i="34"/>
  <c r="A36" i="34"/>
  <c r="C36" i="34" s="1"/>
  <c r="B35" i="34"/>
  <c r="A35" i="34"/>
  <c r="C35" i="34" s="1"/>
  <c r="B34" i="34"/>
  <c r="A34" i="34"/>
  <c r="B32" i="34"/>
  <c r="A32" i="34"/>
  <c r="C32" i="34" s="1"/>
  <c r="B31" i="34"/>
  <c r="A31" i="34"/>
  <c r="B30" i="34"/>
  <c r="A30" i="34"/>
  <c r="C30" i="34" s="1"/>
  <c r="B29" i="34"/>
  <c r="A29" i="34"/>
  <c r="B28" i="34"/>
  <c r="A28" i="34"/>
  <c r="C28" i="34" s="1"/>
  <c r="B27" i="34"/>
  <c r="A27" i="34"/>
  <c r="C27" i="34" s="1"/>
  <c r="B26" i="34"/>
  <c r="A26" i="34"/>
  <c r="B24" i="34"/>
  <c r="A24" i="34"/>
  <c r="C24" i="34" s="1"/>
  <c r="B23" i="34"/>
  <c r="A23" i="34"/>
  <c r="C23" i="34" s="1"/>
  <c r="B22" i="34"/>
  <c r="A22" i="34"/>
  <c r="B21" i="34"/>
  <c r="A21" i="34"/>
  <c r="C21" i="34" s="1"/>
  <c r="B20" i="34"/>
  <c r="A20" i="34"/>
  <c r="C20" i="34" s="1"/>
  <c r="B19" i="34"/>
  <c r="A19" i="34"/>
  <c r="C19" i="34" s="1"/>
  <c r="B18" i="34"/>
  <c r="A18" i="34"/>
  <c r="B17" i="34"/>
  <c r="A17" i="34"/>
  <c r="C17" i="34" s="1"/>
  <c r="B16" i="34"/>
  <c r="A16" i="34"/>
  <c r="C16" i="34" s="1"/>
  <c r="B15" i="34"/>
  <c r="A15" i="34"/>
  <c r="B14" i="34"/>
  <c r="A14" i="34"/>
  <c r="C14" i="34" s="1"/>
  <c r="B13" i="34"/>
  <c r="A13" i="34"/>
  <c r="C13" i="34" s="1"/>
  <c r="B12" i="34"/>
  <c r="A12" i="34"/>
  <c r="C12" i="34" s="1"/>
  <c r="B11" i="34"/>
  <c r="A11" i="34"/>
  <c r="B10" i="34"/>
  <c r="A10" i="34"/>
  <c r="C10" i="34" s="1"/>
  <c r="B9" i="34"/>
  <c r="A9" i="34"/>
  <c r="C9" i="34" s="1"/>
  <c r="B55" i="33"/>
  <c r="A55" i="33"/>
  <c r="B54" i="33"/>
  <c r="A54" i="33"/>
  <c r="C54" i="33" s="1"/>
  <c r="C47" i="33"/>
  <c r="C46" i="33"/>
  <c r="B45" i="33"/>
  <c r="A45" i="33"/>
  <c r="C45" i="33" s="1"/>
  <c r="C44" i="33"/>
  <c r="B44" i="33"/>
  <c r="A44" i="33"/>
  <c r="B43" i="33"/>
  <c r="A43" i="33"/>
  <c r="B36" i="33"/>
  <c r="A36" i="33"/>
  <c r="C36" i="33" s="1"/>
  <c r="B35" i="33"/>
  <c r="A35" i="33"/>
  <c r="B34" i="33"/>
  <c r="A34" i="33"/>
  <c r="C34" i="33" s="1"/>
  <c r="B32" i="33"/>
  <c r="A32" i="33"/>
  <c r="C32" i="33" s="1"/>
  <c r="B31" i="33"/>
  <c r="A31" i="33"/>
  <c r="C31" i="33" s="1"/>
  <c r="B30" i="33"/>
  <c r="A30" i="33"/>
  <c r="C30" i="33" s="1"/>
  <c r="B29" i="33"/>
  <c r="A29" i="33"/>
  <c r="B28" i="33"/>
  <c r="A28" i="33"/>
  <c r="C28" i="33" s="1"/>
  <c r="B27" i="33"/>
  <c r="A27" i="33"/>
  <c r="B26" i="33"/>
  <c r="A26" i="33"/>
  <c r="C26" i="33" s="1"/>
  <c r="B24" i="33"/>
  <c r="A24" i="33"/>
  <c r="C24" i="33" s="1"/>
  <c r="B23" i="33"/>
  <c r="A23" i="33"/>
  <c r="C23" i="33" s="1"/>
  <c r="B22" i="33"/>
  <c r="A22" i="33"/>
  <c r="C22" i="33" s="1"/>
  <c r="B21" i="33"/>
  <c r="A21" i="33"/>
  <c r="B20" i="33"/>
  <c r="A20" i="33"/>
  <c r="C20" i="33" s="1"/>
  <c r="B19" i="33"/>
  <c r="A19" i="33"/>
  <c r="B18" i="33"/>
  <c r="A18" i="33"/>
  <c r="B17" i="33"/>
  <c r="A17" i="33"/>
  <c r="C17" i="33" s="1"/>
  <c r="B16" i="33"/>
  <c r="A16" i="33"/>
  <c r="C16" i="33" s="1"/>
  <c r="B15" i="33"/>
  <c r="A15" i="33"/>
  <c r="C15" i="33" s="1"/>
  <c r="B14" i="33"/>
  <c r="A14" i="33"/>
  <c r="B13" i="33"/>
  <c r="A13" i="33"/>
  <c r="C13" i="33" s="1"/>
  <c r="B12" i="33"/>
  <c r="A12" i="33"/>
  <c r="B11" i="33"/>
  <c r="A11" i="33"/>
  <c r="C11" i="33" s="1"/>
  <c r="B10" i="33"/>
  <c r="A10" i="33"/>
  <c r="C10" i="33" s="1"/>
  <c r="B9" i="33"/>
  <c r="A9" i="33"/>
  <c r="C9" i="33" s="1"/>
  <c r="B55" i="32"/>
  <c r="A55" i="32"/>
  <c r="C55" i="32" s="1"/>
  <c r="B54" i="32"/>
  <c r="A54" i="32"/>
  <c r="C47" i="32"/>
  <c r="C46" i="32"/>
  <c r="B45" i="32"/>
  <c r="A45" i="32"/>
  <c r="B44" i="32"/>
  <c r="A44" i="32"/>
  <c r="C44" i="32" s="1"/>
  <c r="B43" i="32"/>
  <c r="A43" i="32"/>
  <c r="C43" i="32" s="1"/>
  <c r="B36" i="32"/>
  <c r="A36" i="32"/>
  <c r="B35" i="32"/>
  <c r="A35" i="32"/>
  <c r="C35" i="32" s="1"/>
  <c r="B34" i="32"/>
  <c r="A34" i="32"/>
  <c r="B32" i="32"/>
  <c r="A32" i="32"/>
  <c r="B31" i="32"/>
  <c r="A31" i="32"/>
  <c r="C31" i="32" s="1"/>
  <c r="B30" i="32"/>
  <c r="A30" i="32"/>
  <c r="C30" i="32" s="1"/>
  <c r="B29" i="32"/>
  <c r="A29" i="32"/>
  <c r="C29" i="32" s="1"/>
  <c r="B28" i="32"/>
  <c r="A28" i="32"/>
  <c r="B27" i="32"/>
  <c r="A27" i="32"/>
  <c r="C27" i="32" s="1"/>
  <c r="B26" i="32"/>
  <c r="A26" i="32"/>
  <c r="C26" i="32" s="1"/>
  <c r="B24" i="32"/>
  <c r="A24" i="32"/>
  <c r="B23" i="32"/>
  <c r="A23" i="32"/>
  <c r="C23" i="32" s="1"/>
  <c r="B22" i="32"/>
  <c r="A22" i="32"/>
  <c r="C22" i="32" s="1"/>
  <c r="B21" i="32"/>
  <c r="A21" i="32"/>
  <c r="C21" i="32" s="1"/>
  <c r="B20" i="32"/>
  <c r="A20" i="32"/>
  <c r="B19" i="32"/>
  <c r="A19" i="32"/>
  <c r="C19" i="32" s="1"/>
  <c r="B18" i="32"/>
  <c r="A18" i="32"/>
  <c r="B17" i="32"/>
  <c r="A17" i="32"/>
  <c r="B16" i="32"/>
  <c r="A16" i="32"/>
  <c r="C16" i="32" s="1"/>
  <c r="B15" i="32"/>
  <c r="A15" i="32"/>
  <c r="C15" i="32" s="1"/>
  <c r="B14" i="32"/>
  <c r="A14" i="32"/>
  <c r="C14" i="32" s="1"/>
  <c r="C13" i="32"/>
  <c r="B13" i="32"/>
  <c r="A13" i="32"/>
  <c r="B12" i="32"/>
  <c r="A12" i="32"/>
  <c r="B11" i="32"/>
  <c r="A11" i="32"/>
  <c r="C11" i="32" s="1"/>
  <c r="B10" i="32"/>
  <c r="A10" i="32"/>
  <c r="C10" i="32" s="1"/>
  <c r="B9" i="32"/>
  <c r="A9" i="32"/>
  <c r="C9" i="32" s="1"/>
  <c r="B55" i="31"/>
  <c r="A55" i="31"/>
  <c r="C55" i="31" s="1"/>
  <c r="B54" i="31"/>
  <c r="A54" i="31"/>
  <c r="C47" i="31"/>
  <c r="C46" i="31"/>
  <c r="B45" i="31"/>
  <c r="A45" i="31"/>
  <c r="B44" i="31"/>
  <c r="A44" i="31"/>
  <c r="C44" i="31" s="1"/>
  <c r="B43" i="31"/>
  <c r="A43" i="31"/>
  <c r="B36" i="31"/>
  <c r="A36" i="31"/>
  <c r="C36" i="31" s="1"/>
  <c r="B35" i="31"/>
  <c r="A35" i="31"/>
  <c r="C35" i="31" s="1"/>
  <c r="B34" i="31"/>
  <c r="A34" i="31"/>
  <c r="B32" i="31"/>
  <c r="A32" i="31"/>
  <c r="C32" i="31" s="1"/>
  <c r="B31" i="31"/>
  <c r="A31" i="31"/>
  <c r="B30" i="31"/>
  <c r="A30" i="31"/>
  <c r="C30" i="31" s="1"/>
  <c r="B29" i="31"/>
  <c r="A29" i="31"/>
  <c r="B28" i="31"/>
  <c r="A28" i="31"/>
  <c r="C28" i="31" s="1"/>
  <c r="B27" i="31"/>
  <c r="A27" i="31"/>
  <c r="C27" i="31" s="1"/>
  <c r="B26" i="31"/>
  <c r="A26" i="31"/>
  <c r="B24" i="31"/>
  <c r="A24" i="31"/>
  <c r="C24" i="31" s="1"/>
  <c r="B23" i="31"/>
  <c r="A23" i="31"/>
  <c r="C23" i="31" s="1"/>
  <c r="B22" i="31"/>
  <c r="A22" i="31"/>
  <c r="B21" i="31"/>
  <c r="A21" i="31"/>
  <c r="C21" i="31" s="1"/>
  <c r="B20" i="31"/>
  <c r="A20" i="31"/>
  <c r="C20" i="31" s="1"/>
  <c r="B19" i="31"/>
  <c r="A19" i="31"/>
  <c r="C19" i="31" s="1"/>
  <c r="B18" i="31"/>
  <c r="C18" i="31" s="1"/>
  <c r="A18" i="31"/>
  <c r="B17" i="31"/>
  <c r="A17" i="31"/>
  <c r="C17" i="31" s="1"/>
  <c r="B16" i="31"/>
  <c r="A16" i="31"/>
  <c r="C16" i="31" s="1"/>
  <c r="B15" i="31"/>
  <c r="A15" i="31"/>
  <c r="B14" i="31"/>
  <c r="A14" i="31"/>
  <c r="C14" i="31" s="1"/>
  <c r="B13" i="31"/>
  <c r="A13" i="31"/>
  <c r="C13" i="31" s="1"/>
  <c r="B12" i="31"/>
  <c r="A12" i="31"/>
  <c r="C12" i="31" s="1"/>
  <c r="B11" i="31"/>
  <c r="A11" i="31"/>
  <c r="B10" i="31"/>
  <c r="A10" i="31"/>
  <c r="C10" i="31" s="1"/>
  <c r="B9" i="31"/>
  <c r="A9" i="31"/>
  <c r="C9" i="31" s="1"/>
  <c r="B55" i="30"/>
  <c r="A55" i="30"/>
  <c r="B54" i="30"/>
  <c r="A54" i="30"/>
  <c r="C54" i="30" s="1"/>
  <c r="C47" i="30"/>
  <c r="C46" i="30"/>
  <c r="B45" i="30"/>
  <c r="A45" i="30"/>
  <c r="C45" i="30" s="1"/>
  <c r="C44" i="30"/>
  <c r="B44" i="30"/>
  <c r="A44" i="30"/>
  <c r="B43" i="30"/>
  <c r="A43" i="30"/>
  <c r="B36" i="30"/>
  <c r="A36" i="30"/>
  <c r="C36" i="30" s="1"/>
  <c r="D33" i="46" s="1"/>
  <c r="B35" i="30"/>
  <c r="A35" i="30"/>
  <c r="C35" i="30" s="1"/>
  <c r="B34" i="30"/>
  <c r="A34" i="30"/>
  <c r="B32" i="30"/>
  <c r="A32" i="30"/>
  <c r="C32" i="30" s="1"/>
  <c r="B31" i="30"/>
  <c r="A31" i="30"/>
  <c r="C31" i="30" s="1"/>
  <c r="B30" i="30"/>
  <c r="A30" i="30"/>
  <c r="C30" i="30" s="1"/>
  <c r="B29" i="30"/>
  <c r="A29" i="30"/>
  <c r="B28" i="30"/>
  <c r="C28" i="30" s="1"/>
  <c r="A28" i="30"/>
  <c r="B27" i="30"/>
  <c r="A27" i="30"/>
  <c r="C27" i="30" s="1"/>
  <c r="B26" i="30"/>
  <c r="A26" i="30"/>
  <c r="C26" i="30" s="1"/>
  <c r="B24" i="30"/>
  <c r="A24" i="30"/>
  <c r="C24" i="30" s="1"/>
  <c r="B23" i="30"/>
  <c r="A23" i="30"/>
  <c r="B22" i="30"/>
  <c r="A22" i="30"/>
  <c r="C22" i="30" s="1"/>
  <c r="B21" i="30"/>
  <c r="A21" i="30"/>
  <c r="C21" i="30" s="1"/>
  <c r="B20" i="30"/>
  <c r="A20" i="30"/>
  <c r="B19" i="30"/>
  <c r="A19" i="30"/>
  <c r="C19" i="30" s="1"/>
  <c r="B18" i="30"/>
  <c r="A18" i="30"/>
  <c r="B17" i="30"/>
  <c r="A17" i="30"/>
  <c r="C17" i="30" s="1"/>
  <c r="B16" i="30"/>
  <c r="A16" i="30"/>
  <c r="B15" i="30"/>
  <c r="A15" i="30"/>
  <c r="C15" i="30" s="1"/>
  <c r="B14" i="30"/>
  <c r="A14" i="30"/>
  <c r="C14" i="30" s="1"/>
  <c r="C13" i="30"/>
  <c r="B13" i="30"/>
  <c r="A13" i="30"/>
  <c r="B12" i="30"/>
  <c r="A12" i="30"/>
  <c r="C12" i="30" s="1"/>
  <c r="B11" i="30"/>
  <c r="A11" i="30"/>
  <c r="C11" i="30" s="1"/>
  <c r="B10" i="30"/>
  <c r="A10" i="30"/>
  <c r="C10" i="30" s="1"/>
  <c r="B9" i="30"/>
  <c r="A9" i="30"/>
  <c r="C9" i="30" s="1"/>
  <c r="B55" i="29"/>
  <c r="A55" i="29"/>
  <c r="B54" i="29"/>
  <c r="A54" i="29"/>
  <c r="C54" i="29" s="1"/>
  <c r="C47" i="29"/>
  <c r="C46" i="29"/>
  <c r="B45" i="29"/>
  <c r="A45" i="29"/>
  <c r="C45" i="29" s="1"/>
  <c r="B44" i="29"/>
  <c r="A44" i="29"/>
  <c r="C44" i="29" s="1"/>
  <c r="B43" i="29"/>
  <c r="A43" i="29"/>
  <c r="C43" i="29" s="1"/>
  <c r="B36" i="29"/>
  <c r="A36" i="29"/>
  <c r="C36" i="29" s="1"/>
  <c r="B35" i="29"/>
  <c r="A35" i="29"/>
  <c r="B34" i="29"/>
  <c r="A34" i="29"/>
  <c r="B32" i="29"/>
  <c r="A32" i="29"/>
  <c r="C32" i="29" s="1"/>
  <c r="B31" i="29"/>
  <c r="A31" i="29"/>
  <c r="C31" i="29" s="1"/>
  <c r="B30" i="29"/>
  <c r="A30" i="29"/>
  <c r="C30" i="29" s="1"/>
  <c r="B29" i="29"/>
  <c r="A29" i="29"/>
  <c r="C29" i="29" s="1"/>
  <c r="B28" i="29"/>
  <c r="A28" i="29"/>
  <c r="C28" i="29" s="1"/>
  <c r="B27" i="29"/>
  <c r="A27" i="29"/>
  <c r="C27" i="29" s="1"/>
  <c r="B26" i="29"/>
  <c r="A26" i="29"/>
  <c r="B24" i="29"/>
  <c r="A24" i="29"/>
  <c r="C24" i="29" s="1"/>
  <c r="B23" i="29"/>
  <c r="A23" i="29"/>
  <c r="C23" i="29" s="1"/>
  <c r="B22" i="29"/>
  <c r="A22" i="29"/>
  <c r="C22" i="29" s="1"/>
  <c r="B21" i="29"/>
  <c r="A21" i="29"/>
  <c r="B20" i="29"/>
  <c r="A20" i="29"/>
  <c r="C20" i="29" s="1"/>
  <c r="B19" i="29"/>
  <c r="A19" i="29"/>
  <c r="C19" i="29" s="1"/>
  <c r="B18" i="29"/>
  <c r="A18" i="29"/>
  <c r="B17" i="29"/>
  <c r="A17" i="29"/>
  <c r="C17" i="29" s="1"/>
  <c r="B16" i="29"/>
  <c r="A16" i="29"/>
  <c r="C16" i="29" s="1"/>
  <c r="B15" i="29"/>
  <c r="A15" i="29"/>
  <c r="C15" i="29" s="1"/>
  <c r="B14" i="29"/>
  <c r="A14" i="29"/>
  <c r="B13" i="29"/>
  <c r="C13" i="29" s="1"/>
  <c r="A13" i="29"/>
  <c r="B12" i="29"/>
  <c r="A12" i="29"/>
  <c r="C12" i="29" s="1"/>
  <c r="B11" i="29"/>
  <c r="A11" i="29"/>
  <c r="C11" i="29" s="1"/>
  <c r="B10" i="29"/>
  <c r="A10" i="29"/>
  <c r="C10" i="29" s="1"/>
  <c r="B9" i="29"/>
  <c r="A9" i="29"/>
  <c r="C9" i="29" s="1"/>
  <c r="B55" i="28"/>
  <c r="A55" i="28"/>
  <c r="C55" i="28" s="1"/>
  <c r="B54" i="28"/>
  <c r="A54" i="28"/>
  <c r="C54" i="28" s="1"/>
  <c r="C47" i="28"/>
  <c r="C46" i="28"/>
  <c r="B45" i="28"/>
  <c r="A45" i="28"/>
  <c r="C45" i="28" s="1"/>
  <c r="B44" i="28"/>
  <c r="A44" i="28"/>
  <c r="B43" i="28"/>
  <c r="A43" i="28"/>
  <c r="C43" i="28" s="1"/>
  <c r="B36" i="28"/>
  <c r="A36" i="28"/>
  <c r="C36" i="28" s="1"/>
  <c r="B35" i="28"/>
  <c r="A35" i="28"/>
  <c r="C35" i="28" s="1"/>
  <c r="B34" i="28"/>
  <c r="A34" i="28"/>
  <c r="B32" i="28"/>
  <c r="A32" i="28"/>
  <c r="B31" i="28"/>
  <c r="A31" i="28"/>
  <c r="C31" i="28" s="1"/>
  <c r="B30" i="28"/>
  <c r="A30" i="28"/>
  <c r="B29" i="28"/>
  <c r="A29" i="28"/>
  <c r="C29" i="28" s="1"/>
  <c r="B28" i="28"/>
  <c r="A28" i="28"/>
  <c r="C28" i="28" s="1"/>
  <c r="B27" i="28"/>
  <c r="A27" i="28"/>
  <c r="B26" i="28"/>
  <c r="A26" i="28"/>
  <c r="C26" i="28" s="1"/>
  <c r="B24" i="28"/>
  <c r="A24" i="28"/>
  <c r="C24" i="28" s="1"/>
  <c r="B23" i="28"/>
  <c r="A23" i="28"/>
  <c r="B22" i="28"/>
  <c r="A22" i="28"/>
  <c r="C22" i="28" s="1"/>
  <c r="B21" i="28"/>
  <c r="A21" i="28"/>
  <c r="C21" i="28" s="1"/>
  <c r="B20" i="28"/>
  <c r="A20" i="28"/>
  <c r="C20" i="28" s="1"/>
  <c r="B19" i="28"/>
  <c r="A19" i="28"/>
  <c r="C19" i="28" s="1"/>
  <c r="B18" i="28"/>
  <c r="A18" i="28"/>
  <c r="B17" i="28"/>
  <c r="A17" i="28"/>
  <c r="C17" i="28" s="1"/>
  <c r="B16" i="28"/>
  <c r="A16" i="28"/>
  <c r="B15" i="28"/>
  <c r="A15" i="28"/>
  <c r="C15" i="28" s="1"/>
  <c r="B14" i="28"/>
  <c r="A14" i="28"/>
  <c r="C14" i="28" s="1"/>
  <c r="B13" i="28"/>
  <c r="C13" i="28" s="1"/>
  <c r="A13" i="28"/>
  <c r="B12" i="28"/>
  <c r="A12" i="28"/>
  <c r="C12" i="28" s="1"/>
  <c r="B11" i="28"/>
  <c r="A11" i="28"/>
  <c r="C11" i="28" s="1"/>
  <c r="B10" i="28"/>
  <c r="A10" i="28"/>
  <c r="B9" i="28"/>
  <c r="A9" i="28"/>
  <c r="C9" i="28" s="1"/>
  <c r="B55" i="27"/>
  <c r="A55" i="27"/>
  <c r="C55" i="27" s="1"/>
  <c r="B54" i="27"/>
  <c r="A54" i="27"/>
  <c r="C54" i="27" s="1"/>
  <c r="C58" i="27" s="1"/>
  <c r="F30" i="46" s="1"/>
  <c r="C47" i="27"/>
  <c r="C46" i="27"/>
  <c r="B45" i="27"/>
  <c r="A45" i="27"/>
  <c r="C45" i="27" s="1"/>
  <c r="B44" i="27"/>
  <c r="A44" i="27"/>
  <c r="C44" i="27" s="1"/>
  <c r="B43" i="27"/>
  <c r="A43" i="27"/>
  <c r="B36" i="27"/>
  <c r="A36" i="27"/>
  <c r="C36" i="27" s="1"/>
  <c r="B35" i="27"/>
  <c r="A35" i="27"/>
  <c r="C35" i="27" s="1"/>
  <c r="B34" i="27"/>
  <c r="A34" i="27"/>
  <c r="B32" i="27"/>
  <c r="A32" i="27"/>
  <c r="C32" i="27" s="1"/>
  <c r="B31" i="27"/>
  <c r="A31" i="27"/>
  <c r="B30" i="27"/>
  <c r="A30" i="27"/>
  <c r="C30" i="27" s="1"/>
  <c r="B29" i="27"/>
  <c r="A29" i="27"/>
  <c r="B28" i="27"/>
  <c r="A28" i="27"/>
  <c r="C28" i="27" s="1"/>
  <c r="B27" i="27"/>
  <c r="A27" i="27"/>
  <c r="C27" i="27" s="1"/>
  <c r="B26" i="27"/>
  <c r="A26" i="27"/>
  <c r="C26" i="27" s="1"/>
  <c r="B24" i="27"/>
  <c r="A24" i="27"/>
  <c r="C24" i="27" s="1"/>
  <c r="B23" i="27"/>
  <c r="A23" i="27"/>
  <c r="B22" i="27"/>
  <c r="A22" i="27"/>
  <c r="C22" i="27" s="1"/>
  <c r="B21" i="27"/>
  <c r="A21" i="27"/>
  <c r="B20" i="27"/>
  <c r="A20" i="27"/>
  <c r="C20" i="27" s="1"/>
  <c r="B19" i="27"/>
  <c r="A19" i="27"/>
  <c r="C19" i="27" s="1"/>
  <c r="B18" i="27"/>
  <c r="A18" i="27"/>
  <c r="B17" i="27"/>
  <c r="A17" i="27"/>
  <c r="C17" i="27" s="1"/>
  <c r="B16" i="27"/>
  <c r="A16" i="27"/>
  <c r="B15" i="27"/>
  <c r="A15" i="27"/>
  <c r="C15" i="27" s="1"/>
  <c r="B14" i="27"/>
  <c r="A14" i="27"/>
  <c r="B13" i="27"/>
  <c r="A13" i="27"/>
  <c r="C13" i="27" s="1"/>
  <c r="B12" i="27"/>
  <c r="A12" i="27"/>
  <c r="C12" i="27" s="1"/>
  <c r="B11" i="27"/>
  <c r="A11" i="27"/>
  <c r="C11" i="27" s="1"/>
  <c r="B10" i="27"/>
  <c r="A10" i="27"/>
  <c r="C10" i="27" s="1"/>
  <c r="B9" i="27"/>
  <c r="A9" i="27"/>
  <c r="B55" i="26"/>
  <c r="A55" i="26"/>
  <c r="C55" i="26" s="1"/>
  <c r="B54" i="26"/>
  <c r="A54" i="26"/>
  <c r="C47" i="26"/>
  <c r="C46" i="26"/>
  <c r="B45" i="26"/>
  <c r="A45" i="26"/>
  <c r="C45" i="26" s="1"/>
  <c r="B44" i="26"/>
  <c r="A44" i="26"/>
  <c r="C44" i="26" s="1"/>
  <c r="B43" i="26"/>
  <c r="A43" i="26"/>
  <c r="B36" i="26"/>
  <c r="A36" i="26"/>
  <c r="B35" i="26"/>
  <c r="A35" i="26"/>
  <c r="C35" i="26" s="1"/>
  <c r="B34" i="26"/>
  <c r="A34" i="26"/>
  <c r="B32" i="26"/>
  <c r="A32" i="26"/>
  <c r="C32" i="26" s="1"/>
  <c r="B31" i="26"/>
  <c r="A31" i="26"/>
  <c r="C31" i="26" s="1"/>
  <c r="B30" i="26"/>
  <c r="A30" i="26"/>
  <c r="C30" i="26" s="1"/>
  <c r="B29" i="26"/>
  <c r="A29" i="26"/>
  <c r="C29" i="26" s="1"/>
  <c r="B28" i="26"/>
  <c r="A28" i="26"/>
  <c r="B27" i="26"/>
  <c r="A27" i="26"/>
  <c r="B26" i="26"/>
  <c r="A26" i="26"/>
  <c r="B24" i="26"/>
  <c r="A24" i="26"/>
  <c r="C24" i="26" s="1"/>
  <c r="B23" i="26"/>
  <c r="A23" i="26"/>
  <c r="C23" i="26" s="1"/>
  <c r="B22" i="26"/>
  <c r="A22" i="26"/>
  <c r="C22" i="26" s="1"/>
  <c r="B21" i="26"/>
  <c r="A21" i="26"/>
  <c r="C21" i="26" s="1"/>
  <c r="B20" i="26"/>
  <c r="A20" i="26"/>
  <c r="C20" i="26" s="1"/>
  <c r="B19" i="26"/>
  <c r="A19" i="26"/>
  <c r="B18" i="26"/>
  <c r="A18" i="26"/>
  <c r="C18" i="26" s="1"/>
  <c r="B17" i="26"/>
  <c r="A17" i="26"/>
  <c r="C17" i="26" s="1"/>
  <c r="B16" i="26"/>
  <c r="A16" i="26"/>
  <c r="C16" i="26" s="1"/>
  <c r="B15" i="26"/>
  <c r="A15" i="26"/>
  <c r="B14" i="26"/>
  <c r="A14" i="26"/>
  <c r="C14" i="26" s="1"/>
  <c r="B13" i="26"/>
  <c r="A13" i="26"/>
  <c r="C13" i="26" s="1"/>
  <c r="B12" i="26"/>
  <c r="A12" i="26"/>
  <c r="B11" i="26"/>
  <c r="A11" i="26"/>
  <c r="C11" i="26" s="1"/>
  <c r="B10" i="26"/>
  <c r="A10" i="26"/>
  <c r="C10" i="26" s="1"/>
  <c r="B9" i="26"/>
  <c r="A9" i="26"/>
  <c r="C9" i="26" s="1"/>
  <c r="B55" i="25"/>
  <c r="A55" i="25"/>
  <c r="B54" i="25"/>
  <c r="A54" i="25"/>
  <c r="C54" i="25" s="1"/>
  <c r="C47" i="25"/>
  <c r="C46" i="25"/>
  <c r="B45" i="25"/>
  <c r="A45" i="25"/>
  <c r="B44" i="25"/>
  <c r="A44" i="25"/>
  <c r="C44" i="25" s="1"/>
  <c r="B43" i="25"/>
  <c r="A43" i="25"/>
  <c r="B36" i="25"/>
  <c r="A36" i="25"/>
  <c r="C36" i="25" s="1"/>
  <c r="B35" i="25"/>
  <c r="A35" i="25"/>
  <c r="B34" i="25"/>
  <c r="A34" i="25"/>
  <c r="C34" i="25" s="1"/>
  <c r="B32" i="25"/>
  <c r="A32" i="25"/>
  <c r="C32" i="25" s="1"/>
  <c r="B31" i="25"/>
  <c r="A31" i="25"/>
  <c r="B30" i="25"/>
  <c r="A30" i="25"/>
  <c r="C30" i="25" s="1"/>
  <c r="B29" i="25"/>
  <c r="A29" i="25"/>
  <c r="C29" i="25" s="1"/>
  <c r="B28" i="25"/>
  <c r="A28" i="25"/>
  <c r="C28" i="25" s="1"/>
  <c r="B27" i="25"/>
  <c r="C27" i="25" s="1"/>
  <c r="A27" i="25"/>
  <c r="B26" i="25"/>
  <c r="A26" i="25"/>
  <c r="C26" i="25" s="1"/>
  <c r="B24" i="25"/>
  <c r="A24" i="25"/>
  <c r="C24" i="25" s="1"/>
  <c r="B23" i="25"/>
  <c r="A23" i="25"/>
  <c r="B22" i="25"/>
  <c r="A22" i="25"/>
  <c r="C22" i="25" s="1"/>
  <c r="B21" i="25"/>
  <c r="A21" i="25"/>
  <c r="C21" i="25" s="1"/>
  <c r="B20" i="25"/>
  <c r="A20" i="25"/>
  <c r="C20" i="25" s="1"/>
  <c r="B19" i="25"/>
  <c r="A19" i="25"/>
  <c r="B18" i="25"/>
  <c r="A18" i="25"/>
  <c r="C18" i="25" s="1"/>
  <c r="B17" i="25"/>
  <c r="A17" i="25"/>
  <c r="C17" i="25" s="1"/>
  <c r="B16" i="25"/>
  <c r="A16" i="25"/>
  <c r="B15" i="25"/>
  <c r="A15" i="25"/>
  <c r="C15" i="25" s="1"/>
  <c r="B14" i="25"/>
  <c r="A14" i="25"/>
  <c r="C14" i="25" s="1"/>
  <c r="B13" i="25"/>
  <c r="A13" i="25"/>
  <c r="C13" i="25" s="1"/>
  <c r="B12" i="25"/>
  <c r="A12" i="25"/>
  <c r="B11" i="25"/>
  <c r="A11" i="25"/>
  <c r="C11" i="25" s="1"/>
  <c r="B10" i="25"/>
  <c r="A10" i="25"/>
  <c r="C10" i="25" s="1"/>
  <c r="B9" i="25"/>
  <c r="A9" i="25"/>
  <c r="B55" i="24"/>
  <c r="A55" i="24"/>
  <c r="C55" i="24" s="1"/>
  <c r="B54" i="24"/>
  <c r="A54" i="24"/>
  <c r="C54" i="24" s="1"/>
  <c r="C58" i="24" s="1"/>
  <c r="F27" i="46" s="1"/>
  <c r="C47" i="24"/>
  <c r="C46" i="24"/>
  <c r="B45" i="24"/>
  <c r="A45" i="24"/>
  <c r="B44" i="24"/>
  <c r="A44" i="24"/>
  <c r="C44" i="24" s="1"/>
  <c r="B43" i="24"/>
  <c r="A43" i="24"/>
  <c r="C43" i="24" s="1"/>
  <c r="B36" i="24"/>
  <c r="A36" i="24"/>
  <c r="B35" i="24"/>
  <c r="A35" i="24"/>
  <c r="C35" i="24" s="1"/>
  <c r="B34" i="24"/>
  <c r="A34" i="24"/>
  <c r="B32" i="24"/>
  <c r="A32" i="24"/>
  <c r="C32" i="24" s="1"/>
  <c r="B31" i="24"/>
  <c r="A31" i="24"/>
  <c r="B30" i="24"/>
  <c r="A30" i="24"/>
  <c r="C30" i="24" s="1"/>
  <c r="B29" i="24"/>
  <c r="A29" i="24"/>
  <c r="C29" i="24" s="1"/>
  <c r="C28" i="24"/>
  <c r="B28" i="24"/>
  <c r="A28" i="24"/>
  <c r="B27" i="24"/>
  <c r="A27" i="24"/>
  <c r="C27" i="24" s="1"/>
  <c r="B26" i="24"/>
  <c r="A26" i="24"/>
  <c r="C26" i="24" s="1"/>
  <c r="B24" i="24"/>
  <c r="A24" i="24"/>
  <c r="C24" i="24" s="1"/>
  <c r="B23" i="24"/>
  <c r="A23" i="24"/>
  <c r="C23" i="24" s="1"/>
  <c r="B22" i="24"/>
  <c r="A22" i="24"/>
  <c r="B21" i="24"/>
  <c r="A21" i="24"/>
  <c r="C21" i="24" s="1"/>
  <c r="B20" i="24"/>
  <c r="A20" i="24"/>
  <c r="B19" i="24"/>
  <c r="A19" i="24"/>
  <c r="C19" i="24" s="1"/>
  <c r="B18" i="24"/>
  <c r="A18" i="24"/>
  <c r="B17" i="24"/>
  <c r="A17" i="24"/>
  <c r="C17" i="24" s="1"/>
  <c r="B16" i="24"/>
  <c r="A16" i="24"/>
  <c r="C16" i="24" s="1"/>
  <c r="B15" i="24"/>
  <c r="A15" i="24"/>
  <c r="B14" i="24"/>
  <c r="A14" i="24"/>
  <c r="C14" i="24" s="1"/>
  <c r="B13" i="24"/>
  <c r="A13" i="24"/>
  <c r="C13" i="24" s="1"/>
  <c r="B12" i="24"/>
  <c r="A12" i="24"/>
  <c r="C12" i="24" s="1"/>
  <c r="B11" i="24"/>
  <c r="A11" i="24"/>
  <c r="C11" i="24" s="1"/>
  <c r="B10" i="24"/>
  <c r="A10" i="24"/>
  <c r="B9" i="24"/>
  <c r="A9" i="24"/>
  <c r="C9" i="24" s="1"/>
  <c r="B55" i="23"/>
  <c r="A55" i="23"/>
  <c r="C55" i="23" s="1"/>
  <c r="B54" i="23"/>
  <c r="A54" i="23"/>
  <c r="C47" i="23"/>
  <c r="C46" i="23"/>
  <c r="B45" i="23"/>
  <c r="A45" i="23"/>
  <c r="C45" i="23" s="1"/>
  <c r="B44" i="23"/>
  <c r="A44" i="23"/>
  <c r="C44" i="23" s="1"/>
  <c r="B43" i="23"/>
  <c r="A43" i="23"/>
  <c r="C43" i="23" s="1"/>
  <c r="B36" i="23"/>
  <c r="A36" i="23"/>
  <c r="B35" i="23"/>
  <c r="A35" i="23"/>
  <c r="C35" i="23" s="1"/>
  <c r="B34" i="23"/>
  <c r="A34" i="23"/>
  <c r="B32" i="23"/>
  <c r="A32" i="23"/>
  <c r="C32" i="23" s="1"/>
  <c r="B31" i="23"/>
  <c r="A31" i="23"/>
  <c r="C31" i="23" s="1"/>
  <c r="B30" i="23"/>
  <c r="A30" i="23"/>
  <c r="C30" i="23" s="1"/>
  <c r="B29" i="23"/>
  <c r="A29" i="23"/>
  <c r="C29" i="23" s="1"/>
  <c r="B28" i="23"/>
  <c r="A28" i="23"/>
  <c r="B27" i="23"/>
  <c r="A27" i="23"/>
  <c r="C27" i="23" s="1"/>
  <c r="B26" i="23"/>
  <c r="A26" i="23"/>
  <c r="B24" i="23"/>
  <c r="A24" i="23"/>
  <c r="C24" i="23" s="1"/>
  <c r="B23" i="23"/>
  <c r="A23" i="23"/>
  <c r="C23" i="23" s="1"/>
  <c r="B22" i="23"/>
  <c r="A22" i="23"/>
  <c r="C22" i="23" s="1"/>
  <c r="B21" i="23"/>
  <c r="A21" i="23"/>
  <c r="C21" i="23" s="1"/>
  <c r="B20" i="23"/>
  <c r="A20" i="23"/>
  <c r="B19" i="23"/>
  <c r="A19" i="23"/>
  <c r="C19" i="23" s="1"/>
  <c r="B18" i="23"/>
  <c r="C18" i="23" s="1"/>
  <c r="A18" i="23"/>
  <c r="B17" i="23"/>
  <c r="A17" i="23"/>
  <c r="C17" i="23" s="1"/>
  <c r="B16" i="23"/>
  <c r="A16" i="23"/>
  <c r="C16" i="23" s="1"/>
  <c r="B15" i="23"/>
  <c r="A15" i="23"/>
  <c r="C15" i="23" s="1"/>
  <c r="B14" i="23"/>
  <c r="A14" i="23"/>
  <c r="C14" i="23" s="1"/>
  <c r="C13" i="23"/>
  <c r="B13" i="23"/>
  <c r="A13" i="23"/>
  <c r="B12" i="23"/>
  <c r="A12" i="23"/>
  <c r="B11" i="23"/>
  <c r="A11" i="23"/>
  <c r="C11" i="23" s="1"/>
  <c r="B10" i="23"/>
  <c r="A10" i="23"/>
  <c r="C10" i="23" s="1"/>
  <c r="B9" i="23"/>
  <c r="A9" i="23"/>
  <c r="C9" i="23" s="1"/>
  <c r="B55" i="22"/>
  <c r="A55" i="22"/>
  <c r="B54" i="22"/>
  <c r="A54" i="22"/>
  <c r="C54" i="22" s="1"/>
  <c r="C47" i="22"/>
  <c r="C46" i="22"/>
  <c r="B45" i="22"/>
  <c r="A45" i="22"/>
  <c r="B44" i="22"/>
  <c r="A44" i="22"/>
  <c r="B43" i="22"/>
  <c r="A43" i="22"/>
  <c r="C43" i="22" s="1"/>
  <c r="B36" i="22"/>
  <c r="A36" i="22"/>
  <c r="C36" i="22" s="1"/>
  <c r="B35" i="22"/>
  <c r="A35" i="22"/>
  <c r="B34" i="22"/>
  <c r="A34" i="22"/>
  <c r="C34" i="22" s="1"/>
  <c r="B32" i="22"/>
  <c r="A32" i="22"/>
  <c r="C32" i="22" s="1"/>
  <c r="B31" i="22"/>
  <c r="A31" i="22"/>
  <c r="B30" i="22"/>
  <c r="A30" i="22"/>
  <c r="C30" i="22" s="1"/>
  <c r="B29" i="22"/>
  <c r="A29" i="22"/>
  <c r="C29" i="22" s="1"/>
  <c r="B28" i="22"/>
  <c r="A28" i="22"/>
  <c r="B27" i="22"/>
  <c r="A27" i="22"/>
  <c r="B26" i="22"/>
  <c r="A26" i="22"/>
  <c r="C26" i="22" s="1"/>
  <c r="B24" i="22"/>
  <c r="A24" i="22"/>
  <c r="C24" i="22" s="1"/>
  <c r="B23" i="22"/>
  <c r="A23" i="22"/>
  <c r="B22" i="22"/>
  <c r="A22" i="22"/>
  <c r="C22" i="22" s="1"/>
  <c r="B21" i="22"/>
  <c r="A21" i="22"/>
  <c r="C21" i="22" s="1"/>
  <c r="B20" i="22"/>
  <c r="A20" i="22"/>
  <c r="C20" i="22" s="1"/>
  <c r="B19" i="22"/>
  <c r="A19" i="22"/>
  <c r="B18" i="22"/>
  <c r="A18" i="22"/>
  <c r="C18" i="22" s="1"/>
  <c r="B17" i="22"/>
  <c r="A17" i="22"/>
  <c r="C17" i="22" s="1"/>
  <c r="B16" i="22"/>
  <c r="A16" i="22"/>
  <c r="B15" i="22"/>
  <c r="A15" i="22"/>
  <c r="C15" i="22" s="1"/>
  <c r="B14" i="22"/>
  <c r="A14" i="22"/>
  <c r="C14" i="22" s="1"/>
  <c r="B13" i="22"/>
  <c r="A13" i="22"/>
  <c r="B12" i="22"/>
  <c r="A12" i="22"/>
  <c r="B11" i="22"/>
  <c r="A11" i="22"/>
  <c r="C11" i="22" s="1"/>
  <c r="B10" i="22"/>
  <c r="A10" i="22"/>
  <c r="C10" i="22" s="1"/>
  <c r="B9" i="22"/>
  <c r="A9" i="22"/>
  <c r="B55" i="21"/>
  <c r="A55" i="21"/>
  <c r="C55" i="21" s="1"/>
  <c r="B54" i="21"/>
  <c r="A54" i="21"/>
  <c r="C54" i="21" s="1"/>
  <c r="C58" i="21" s="1"/>
  <c r="F24" i="46" s="1"/>
  <c r="C47" i="21"/>
  <c r="C46" i="21"/>
  <c r="B45" i="21"/>
  <c r="A45" i="21"/>
  <c r="B44" i="21"/>
  <c r="A44" i="21"/>
  <c r="C44" i="21" s="1"/>
  <c r="B43" i="21"/>
  <c r="A43" i="21"/>
  <c r="B36" i="21"/>
  <c r="A36" i="21"/>
  <c r="B35" i="21"/>
  <c r="A35" i="21"/>
  <c r="C35" i="21" s="1"/>
  <c r="B34" i="21"/>
  <c r="A34" i="21"/>
  <c r="B32" i="21"/>
  <c r="A32" i="21"/>
  <c r="C32" i="21" s="1"/>
  <c r="B31" i="21"/>
  <c r="A31" i="21"/>
  <c r="C31" i="21" s="1"/>
  <c r="B30" i="21"/>
  <c r="A30" i="21"/>
  <c r="B29" i="21"/>
  <c r="A29" i="21"/>
  <c r="C29" i="21" s="1"/>
  <c r="B28" i="21"/>
  <c r="A28" i="21"/>
  <c r="C28" i="21" s="1"/>
  <c r="B27" i="21"/>
  <c r="A27" i="21"/>
  <c r="B26" i="21"/>
  <c r="A26" i="21"/>
  <c r="C26" i="21" s="1"/>
  <c r="B24" i="21"/>
  <c r="A24" i="21"/>
  <c r="C24" i="21" s="1"/>
  <c r="B23" i="21"/>
  <c r="A23" i="21"/>
  <c r="C23" i="21" s="1"/>
  <c r="B22" i="21"/>
  <c r="A22" i="21"/>
  <c r="B21" i="21"/>
  <c r="A21" i="21"/>
  <c r="C21" i="21" s="1"/>
  <c r="B20" i="21"/>
  <c r="A20" i="21"/>
  <c r="C20" i="21" s="1"/>
  <c r="B19" i="21"/>
  <c r="A19" i="21"/>
  <c r="C19" i="21" s="1"/>
  <c r="B18" i="21"/>
  <c r="A18" i="21"/>
  <c r="B17" i="21"/>
  <c r="A17" i="21"/>
  <c r="C17" i="21" s="1"/>
  <c r="B16" i="21"/>
  <c r="A16" i="21"/>
  <c r="C16" i="21" s="1"/>
  <c r="B15" i="21"/>
  <c r="A15" i="21"/>
  <c r="B14" i="21"/>
  <c r="A14" i="21"/>
  <c r="C14" i="21" s="1"/>
  <c r="B13" i="21"/>
  <c r="A13" i="21"/>
  <c r="C13" i="21" s="1"/>
  <c r="B12" i="21"/>
  <c r="A12" i="21"/>
  <c r="B11" i="21"/>
  <c r="A11" i="21"/>
  <c r="C11" i="21" s="1"/>
  <c r="B10" i="21"/>
  <c r="A10" i="21"/>
  <c r="B9" i="21"/>
  <c r="A9" i="21"/>
  <c r="C9" i="21" s="1"/>
  <c r="B55" i="20"/>
  <c r="A55" i="20"/>
  <c r="C55" i="20" s="1"/>
  <c r="B54" i="20"/>
  <c r="A54" i="20"/>
  <c r="C47" i="20"/>
  <c r="C46" i="20"/>
  <c r="B45" i="20"/>
  <c r="A45" i="20"/>
  <c r="C45" i="20" s="1"/>
  <c r="B44" i="20"/>
  <c r="A44" i="20"/>
  <c r="C44" i="20" s="1"/>
  <c r="B43" i="20"/>
  <c r="A43" i="20"/>
  <c r="B36" i="20"/>
  <c r="C36" i="20" s="1"/>
  <c r="A36" i="20"/>
  <c r="B35" i="20"/>
  <c r="A35" i="20"/>
  <c r="C35" i="20" s="1"/>
  <c r="B34" i="20"/>
  <c r="A34" i="20"/>
  <c r="B32" i="20"/>
  <c r="A32" i="20"/>
  <c r="C32" i="20" s="1"/>
  <c r="B31" i="20"/>
  <c r="A31" i="20"/>
  <c r="C31" i="20" s="1"/>
  <c r="B30" i="20"/>
  <c r="A30" i="20"/>
  <c r="B29" i="20"/>
  <c r="A29" i="20"/>
  <c r="C29" i="20" s="1"/>
  <c r="B28" i="20"/>
  <c r="A28" i="20"/>
  <c r="B27" i="20"/>
  <c r="A27" i="20"/>
  <c r="C27" i="20" s="1"/>
  <c r="B26" i="20"/>
  <c r="C26" i="20" s="1"/>
  <c r="A26" i="20"/>
  <c r="B24" i="20"/>
  <c r="A24" i="20"/>
  <c r="C24" i="20" s="1"/>
  <c r="B23" i="20"/>
  <c r="A23" i="20"/>
  <c r="C23" i="20" s="1"/>
  <c r="B22" i="20"/>
  <c r="A22" i="20"/>
  <c r="B21" i="20"/>
  <c r="A21" i="20"/>
  <c r="C21" i="20" s="1"/>
  <c r="C20" i="20"/>
  <c r="B20" i="20"/>
  <c r="A20" i="20"/>
  <c r="B19" i="20"/>
  <c r="A19" i="20"/>
  <c r="B18" i="20"/>
  <c r="A18" i="20"/>
  <c r="C18" i="20" s="1"/>
  <c r="B17" i="20"/>
  <c r="A17" i="20"/>
  <c r="C17" i="20" s="1"/>
  <c r="B16" i="20"/>
  <c r="A16" i="20"/>
  <c r="C16" i="20" s="1"/>
  <c r="B15" i="20"/>
  <c r="A15" i="20"/>
  <c r="B14" i="20"/>
  <c r="A14" i="20"/>
  <c r="C14" i="20" s="1"/>
  <c r="B13" i="20"/>
  <c r="A13" i="20"/>
  <c r="C13" i="20" s="1"/>
  <c r="B12" i="20"/>
  <c r="A12" i="20"/>
  <c r="B11" i="20"/>
  <c r="A11" i="20"/>
  <c r="B10" i="20"/>
  <c r="A10" i="20"/>
  <c r="C10" i="20" s="1"/>
  <c r="B9" i="20"/>
  <c r="A9" i="20"/>
  <c r="C9" i="20" s="1"/>
  <c r="B55" i="19"/>
  <c r="A55" i="19"/>
  <c r="B54" i="19"/>
  <c r="A54" i="19"/>
  <c r="C54" i="19" s="1"/>
  <c r="C47" i="19"/>
  <c r="C46" i="19"/>
  <c r="B45" i="19"/>
  <c r="A45" i="19"/>
  <c r="B44" i="19"/>
  <c r="A44" i="19"/>
  <c r="C44" i="19" s="1"/>
  <c r="B43" i="19"/>
  <c r="A43" i="19"/>
  <c r="C43" i="19" s="1"/>
  <c r="B36" i="19"/>
  <c r="A36" i="19"/>
  <c r="C36" i="19" s="1"/>
  <c r="B35" i="19"/>
  <c r="A35" i="19"/>
  <c r="B34" i="19"/>
  <c r="A34" i="19"/>
  <c r="B32" i="19"/>
  <c r="A32" i="19"/>
  <c r="C32" i="19" s="1"/>
  <c r="B31" i="19"/>
  <c r="A31" i="19"/>
  <c r="B30" i="19"/>
  <c r="A30" i="19"/>
  <c r="C30" i="19" s="1"/>
  <c r="B29" i="19"/>
  <c r="A29" i="19"/>
  <c r="C29" i="19" s="1"/>
  <c r="B28" i="19"/>
  <c r="A28" i="19"/>
  <c r="C28" i="19" s="1"/>
  <c r="B27" i="19"/>
  <c r="A27" i="19"/>
  <c r="B26" i="19"/>
  <c r="A26" i="19"/>
  <c r="C26" i="19" s="1"/>
  <c r="B24" i="19"/>
  <c r="A24" i="19"/>
  <c r="C24" i="19" s="1"/>
  <c r="B23" i="19"/>
  <c r="A23" i="19"/>
  <c r="B22" i="19"/>
  <c r="A22" i="19"/>
  <c r="C22" i="19" s="1"/>
  <c r="B21" i="19"/>
  <c r="A21" i="19"/>
  <c r="C21" i="19" s="1"/>
  <c r="B20" i="19"/>
  <c r="A20" i="19"/>
  <c r="C20" i="19" s="1"/>
  <c r="B19" i="19"/>
  <c r="A19" i="19"/>
  <c r="B18" i="19"/>
  <c r="A18" i="19"/>
  <c r="B17" i="19"/>
  <c r="A17" i="19"/>
  <c r="C17" i="19" s="1"/>
  <c r="B16" i="19"/>
  <c r="A16" i="19"/>
  <c r="B15" i="19"/>
  <c r="A15" i="19"/>
  <c r="C15" i="19" s="1"/>
  <c r="B14" i="19"/>
  <c r="A14" i="19"/>
  <c r="C14" i="19" s="1"/>
  <c r="B13" i="19"/>
  <c r="A13" i="19"/>
  <c r="C13" i="19" s="1"/>
  <c r="B12" i="19"/>
  <c r="A12" i="19"/>
  <c r="B11" i="19"/>
  <c r="A11" i="19"/>
  <c r="C11" i="19" s="1"/>
  <c r="B10" i="19"/>
  <c r="A10" i="19"/>
  <c r="C10" i="19" s="1"/>
  <c r="B9" i="19"/>
  <c r="A9" i="19"/>
  <c r="B55" i="18"/>
  <c r="A55" i="18"/>
  <c r="C55" i="18" s="1"/>
  <c r="B54" i="18"/>
  <c r="A54" i="18"/>
  <c r="C54" i="18" s="1"/>
  <c r="C47" i="18"/>
  <c r="C46" i="18"/>
  <c r="B45" i="18"/>
  <c r="A45" i="18"/>
  <c r="C45" i="18" s="1"/>
  <c r="B44" i="18"/>
  <c r="A44" i="18"/>
  <c r="B43" i="18"/>
  <c r="A43" i="18"/>
  <c r="C43" i="18" s="1"/>
  <c r="B36" i="18"/>
  <c r="A36" i="18"/>
  <c r="C36" i="18" s="1"/>
  <c r="B35" i="18"/>
  <c r="A35" i="18"/>
  <c r="C35" i="18" s="1"/>
  <c r="B34" i="18"/>
  <c r="A34" i="18"/>
  <c r="C32" i="18"/>
  <c r="B32" i="18"/>
  <c r="A32" i="18"/>
  <c r="B31" i="18"/>
  <c r="A31" i="18"/>
  <c r="C31" i="18" s="1"/>
  <c r="B30" i="18"/>
  <c r="A30" i="18"/>
  <c r="C30" i="18" s="1"/>
  <c r="B29" i="18"/>
  <c r="A29" i="18"/>
  <c r="B28" i="18"/>
  <c r="A28" i="18"/>
  <c r="C28" i="18" s="1"/>
  <c r="B27" i="18"/>
  <c r="A27" i="18"/>
  <c r="C27" i="18" s="1"/>
  <c r="B26" i="18"/>
  <c r="A26" i="18"/>
  <c r="C26" i="18" s="1"/>
  <c r="B24" i="18"/>
  <c r="A24" i="18"/>
  <c r="B23" i="18"/>
  <c r="A23" i="18"/>
  <c r="C23" i="18" s="1"/>
  <c r="B22" i="18"/>
  <c r="A22" i="18"/>
  <c r="B21" i="18"/>
  <c r="A21" i="18"/>
  <c r="B20" i="18"/>
  <c r="A20" i="18"/>
  <c r="C20" i="18" s="1"/>
  <c r="B19" i="18"/>
  <c r="A19" i="18"/>
  <c r="C19" i="18" s="1"/>
  <c r="B18" i="18"/>
  <c r="A18" i="18"/>
  <c r="C18" i="18" s="1"/>
  <c r="B17" i="18"/>
  <c r="A17" i="18"/>
  <c r="B16" i="18"/>
  <c r="A16" i="18"/>
  <c r="C16" i="18" s="1"/>
  <c r="B15" i="18"/>
  <c r="A15" i="18"/>
  <c r="C15" i="18" s="1"/>
  <c r="B14" i="18"/>
  <c r="A14" i="18"/>
  <c r="B13" i="18"/>
  <c r="A13" i="18"/>
  <c r="C13" i="18" s="1"/>
  <c r="B12" i="18"/>
  <c r="A12" i="18"/>
  <c r="C12" i="18" s="1"/>
  <c r="B11" i="18"/>
  <c r="A11" i="18"/>
  <c r="C11" i="18" s="1"/>
  <c r="B10" i="18"/>
  <c r="A10" i="18"/>
  <c r="B9" i="18"/>
  <c r="A9" i="18"/>
  <c r="C9" i="18" s="1"/>
  <c r="B55" i="17"/>
  <c r="A55" i="17"/>
  <c r="C55" i="17" s="1"/>
  <c r="B54" i="17"/>
  <c r="A54" i="17"/>
  <c r="C47" i="17"/>
  <c r="C46" i="17"/>
  <c r="B45" i="17"/>
  <c r="A45" i="17"/>
  <c r="C45" i="17" s="1"/>
  <c r="B44" i="17"/>
  <c r="C44" i="17" s="1"/>
  <c r="A44" i="17"/>
  <c r="B43" i="17"/>
  <c r="A43" i="17"/>
  <c r="C43" i="17" s="1"/>
  <c r="B36" i="17"/>
  <c r="A36" i="17"/>
  <c r="B35" i="17"/>
  <c r="A35" i="17"/>
  <c r="C35" i="17" s="1"/>
  <c r="B34" i="17"/>
  <c r="A34" i="17"/>
  <c r="B32" i="17"/>
  <c r="A32" i="17"/>
  <c r="C32" i="17" s="1"/>
  <c r="B31" i="17"/>
  <c r="A31" i="17"/>
  <c r="C31" i="17" s="1"/>
  <c r="B30" i="17"/>
  <c r="A30" i="17"/>
  <c r="B29" i="17"/>
  <c r="A29" i="17"/>
  <c r="C29" i="17" s="1"/>
  <c r="B28" i="17"/>
  <c r="A28" i="17"/>
  <c r="B27" i="17"/>
  <c r="A27" i="17"/>
  <c r="C27" i="17" s="1"/>
  <c r="B26" i="17"/>
  <c r="A26" i="17"/>
  <c r="C26" i="17" s="1"/>
  <c r="B24" i="17"/>
  <c r="A24" i="17"/>
  <c r="C24" i="17" s="1"/>
  <c r="B23" i="17"/>
  <c r="A23" i="17"/>
  <c r="C23" i="17" s="1"/>
  <c r="B22" i="17"/>
  <c r="A22" i="17"/>
  <c r="B21" i="17"/>
  <c r="A21" i="17"/>
  <c r="C21" i="17" s="1"/>
  <c r="B20" i="17"/>
  <c r="A20" i="17"/>
  <c r="B19" i="17"/>
  <c r="A19" i="17"/>
  <c r="C19" i="17" s="1"/>
  <c r="B18" i="17"/>
  <c r="A18" i="17"/>
  <c r="B17" i="17"/>
  <c r="A17" i="17"/>
  <c r="C17" i="17" s="1"/>
  <c r="B16" i="17"/>
  <c r="A16" i="17"/>
  <c r="C16" i="17" s="1"/>
  <c r="B15" i="17"/>
  <c r="A15" i="17"/>
  <c r="B14" i="17"/>
  <c r="A14" i="17"/>
  <c r="C14" i="17" s="1"/>
  <c r="B13" i="17"/>
  <c r="A13" i="17"/>
  <c r="B12" i="17"/>
  <c r="A12" i="17"/>
  <c r="C12" i="17" s="1"/>
  <c r="B11" i="17"/>
  <c r="A11" i="17"/>
  <c r="B10" i="17"/>
  <c r="A10" i="17"/>
  <c r="C10" i="17" s="1"/>
  <c r="B9" i="17"/>
  <c r="A9" i="17"/>
  <c r="C9" i="17" s="1"/>
  <c r="B55" i="16"/>
  <c r="A55" i="16"/>
  <c r="B54" i="16"/>
  <c r="A54" i="16"/>
  <c r="C54" i="16" s="1"/>
  <c r="C47" i="16"/>
  <c r="C46" i="16"/>
  <c r="B45" i="16"/>
  <c r="A45" i="16"/>
  <c r="C45" i="16" s="1"/>
  <c r="B44" i="16"/>
  <c r="A44" i="16"/>
  <c r="B43" i="16"/>
  <c r="A43" i="16"/>
  <c r="C43" i="16" s="1"/>
  <c r="B36" i="16"/>
  <c r="A36" i="16"/>
  <c r="C36" i="16" s="1"/>
  <c r="B35" i="16"/>
  <c r="A35" i="16"/>
  <c r="B34" i="16"/>
  <c r="A34" i="16"/>
  <c r="B32" i="16"/>
  <c r="A32" i="16"/>
  <c r="B31" i="16"/>
  <c r="A31" i="16"/>
  <c r="C31" i="16" s="1"/>
  <c r="B30" i="16"/>
  <c r="A30" i="16"/>
  <c r="B29" i="16"/>
  <c r="A29" i="16"/>
  <c r="C29" i="16" s="1"/>
  <c r="B28" i="16"/>
  <c r="A28" i="16"/>
  <c r="C28" i="16" s="1"/>
  <c r="B27" i="16"/>
  <c r="A27" i="16"/>
  <c r="B26" i="16"/>
  <c r="A26" i="16"/>
  <c r="C26" i="16" s="1"/>
  <c r="B24" i="16"/>
  <c r="A24" i="16"/>
  <c r="B23" i="16"/>
  <c r="A23" i="16"/>
  <c r="C23" i="16" s="1"/>
  <c r="B22" i="16"/>
  <c r="A22" i="16"/>
  <c r="B21" i="16"/>
  <c r="A21" i="16"/>
  <c r="C21" i="16" s="1"/>
  <c r="B20" i="16"/>
  <c r="A20" i="16"/>
  <c r="C20" i="16" s="1"/>
  <c r="B19" i="16"/>
  <c r="A19" i="16"/>
  <c r="B18" i="16"/>
  <c r="A18" i="16"/>
  <c r="B17" i="16"/>
  <c r="A17" i="16"/>
  <c r="B16" i="16"/>
  <c r="A16" i="16"/>
  <c r="C16" i="16" s="1"/>
  <c r="B15" i="16"/>
  <c r="A15" i="16"/>
  <c r="B14" i="16"/>
  <c r="A14" i="16"/>
  <c r="C14" i="16" s="1"/>
  <c r="B13" i="16"/>
  <c r="A13" i="16"/>
  <c r="C13" i="16" s="1"/>
  <c r="B12" i="16"/>
  <c r="A12" i="16"/>
  <c r="B11" i="16"/>
  <c r="A11" i="16"/>
  <c r="C11" i="16" s="1"/>
  <c r="B10" i="16"/>
  <c r="A10" i="16"/>
  <c r="C10" i="16" s="1"/>
  <c r="B9" i="16"/>
  <c r="A9" i="16"/>
  <c r="B55" i="15"/>
  <c r="A55" i="15"/>
  <c r="C55" i="15" s="1"/>
  <c r="B54" i="15"/>
  <c r="A54" i="15"/>
  <c r="C54" i="15" s="1"/>
  <c r="C58" i="15" s="1"/>
  <c r="C47" i="15"/>
  <c r="C46" i="15"/>
  <c r="B45" i="15"/>
  <c r="A45" i="15"/>
  <c r="B44" i="15"/>
  <c r="A44" i="15"/>
  <c r="C44" i="15" s="1"/>
  <c r="B43" i="15"/>
  <c r="A43" i="15"/>
  <c r="C43" i="15" s="1"/>
  <c r="B36" i="15"/>
  <c r="A36" i="15"/>
  <c r="B35" i="15"/>
  <c r="A35" i="15"/>
  <c r="C35" i="15" s="1"/>
  <c r="B34" i="15"/>
  <c r="A34" i="15"/>
  <c r="B32" i="15"/>
  <c r="A32" i="15"/>
  <c r="C32" i="15" s="1"/>
  <c r="B31" i="15"/>
  <c r="A31" i="15"/>
  <c r="B30" i="15"/>
  <c r="A30" i="15"/>
  <c r="C30" i="15" s="1"/>
  <c r="B29" i="15"/>
  <c r="A29" i="15"/>
  <c r="C29" i="15" s="1"/>
  <c r="C28" i="15"/>
  <c r="B28" i="15"/>
  <c r="A28" i="15"/>
  <c r="B27" i="15"/>
  <c r="A27" i="15"/>
  <c r="C27" i="15" s="1"/>
  <c r="B26" i="15"/>
  <c r="A26" i="15"/>
  <c r="C26" i="15" s="1"/>
  <c r="B24" i="15"/>
  <c r="A24" i="15"/>
  <c r="C24" i="15" s="1"/>
  <c r="B23" i="15"/>
  <c r="A23" i="15"/>
  <c r="C23" i="15" s="1"/>
  <c r="B22" i="15"/>
  <c r="A22" i="15"/>
  <c r="B21" i="15"/>
  <c r="A21" i="15"/>
  <c r="C21" i="15" s="1"/>
  <c r="B20" i="15"/>
  <c r="A20" i="15"/>
  <c r="B19" i="15"/>
  <c r="A19" i="15"/>
  <c r="C19" i="15" s="1"/>
  <c r="B18" i="15"/>
  <c r="A18" i="15"/>
  <c r="B17" i="15"/>
  <c r="A17" i="15"/>
  <c r="C17" i="15" s="1"/>
  <c r="B16" i="15"/>
  <c r="A16" i="15"/>
  <c r="C16" i="15" s="1"/>
  <c r="B15" i="15"/>
  <c r="A15" i="15"/>
  <c r="B14" i="15"/>
  <c r="A14" i="15"/>
  <c r="C14" i="15" s="1"/>
  <c r="B13" i="15"/>
  <c r="A13" i="15"/>
  <c r="B12" i="15"/>
  <c r="A12" i="15"/>
  <c r="C12" i="15" s="1"/>
  <c r="B11" i="15"/>
  <c r="A11" i="15"/>
  <c r="C11" i="15" s="1"/>
  <c r="B10" i="15"/>
  <c r="A10" i="15"/>
  <c r="C10" i="15" s="1"/>
  <c r="B9" i="15"/>
  <c r="A9" i="15"/>
  <c r="C9" i="15" s="1"/>
  <c r="B54" i="8"/>
  <c r="C54" i="8" s="1"/>
  <c r="C58" i="8" s="1"/>
  <c r="F17" i="46" s="1"/>
  <c r="B55" i="8"/>
  <c r="B43" i="8"/>
  <c r="B44" i="8"/>
  <c r="B45" i="8"/>
  <c r="B34" i="8"/>
  <c r="B35" i="8"/>
  <c r="B36" i="8"/>
  <c r="B26" i="8"/>
  <c r="B27" i="8"/>
  <c r="B28" i="8"/>
  <c r="B29" i="8"/>
  <c r="B30" i="8"/>
  <c r="B31" i="8"/>
  <c r="B32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A44" i="8"/>
  <c r="C44" i="8" s="1"/>
  <c r="A55" i="8"/>
  <c r="C55" i="8" s="1"/>
  <c r="A54" i="8"/>
  <c r="C47" i="8"/>
  <c r="C46" i="8"/>
  <c r="A45" i="8"/>
  <c r="C45" i="8" s="1"/>
  <c r="A43" i="8"/>
  <c r="C43" i="8" s="1"/>
  <c r="A36" i="8"/>
  <c r="A35" i="8"/>
  <c r="A34" i="8"/>
  <c r="A32" i="8"/>
  <c r="A31" i="8"/>
  <c r="C31" i="8" s="1"/>
  <c r="A30" i="8"/>
  <c r="A29" i="8"/>
  <c r="A28" i="8"/>
  <c r="A27" i="8"/>
  <c r="A26" i="8"/>
  <c r="A24" i="8"/>
  <c r="C24" i="8" s="1"/>
  <c r="A23" i="8"/>
  <c r="C23" i="8" s="1"/>
  <c r="A22" i="8"/>
  <c r="C22" i="8" s="1"/>
  <c r="A21" i="8"/>
  <c r="A20" i="8"/>
  <c r="C20" i="8" s="1"/>
  <c r="A19" i="8"/>
  <c r="A18" i="8"/>
  <c r="A17" i="8"/>
  <c r="A16" i="8"/>
  <c r="A15" i="8"/>
  <c r="A14" i="8"/>
  <c r="A13" i="8"/>
  <c r="C13" i="8" s="1"/>
  <c r="A12" i="8"/>
  <c r="C12" i="8" s="1"/>
  <c r="A11" i="8"/>
  <c r="A10" i="8"/>
  <c r="C10" i="8" s="1"/>
  <c r="A9" i="8"/>
  <c r="C9" i="8" s="1"/>
  <c r="C34" i="43" l="1"/>
  <c r="C19" i="8"/>
  <c r="C21" i="46"/>
  <c r="B39" i="46"/>
  <c r="C54" i="34"/>
  <c r="C58" i="34" s="1"/>
  <c r="F37" i="46" s="1"/>
  <c r="C22" i="20"/>
  <c r="C30" i="20"/>
  <c r="C19" i="16"/>
  <c r="C27" i="16"/>
  <c r="C19" i="46" s="1"/>
  <c r="C35" i="16"/>
  <c r="C55" i="16"/>
  <c r="C15" i="17"/>
  <c r="C22" i="17"/>
  <c r="C30" i="17"/>
  <c r="C54" i="31"/>
  <c r="C58" i="31" s="1"/>
  <c r="F34" i="46" s="1"/>
  <c r="C18" i="21"/>
  <c r="C34" i="42"/>
  <c r="C27" i="21"/>
  <c r="C58" i="30"/>
  <c r="F33" i="46" s="1"/>
  <c r="C34" i="39"/>
  <c r="C11" i="8"/>
  <c r="C13" i="15"/>
  <c r="C20" i="15"/>
  <c r="C15" i="16"/>
  <c r="C22" i="16"/>
  <c r="C30" i="16"/>
  <c r="C44" i="16"/>
  <c r="C11" i="17"/>
  <c r="C38" i="17" s="1"/>
  <c r="C34" i="20"/>
  <c r="D23" i="46" s="1"/>
  <c r="C26" i="23"/>
  <c r="C26" i="46" s="1"/>
  <c r="C20" i="24"/>
  <c r="C26" i="26"/>
  <c r="C34" i="26"/>
  <c r="C54" i="26"/>
  <c r="C58" i="26" s="1"/>
  <c r="F29" i="46" s="1"/>
  <c r="C14" i="27"/>
  <c r="C21" i="27"/>
  <c r="C29" i="27"/>
  <c r="C30" i="46" s="1"/>
  <c r="C43" i="27"/>
  <c r="C49" i="27" s="1"/>
  <c r="E30" i="46" s="1"/>
  <c r="C16" i="28"/>
  <c r="C30" i="28"/>
  <c r="C44" i="28"/>
  <c r="C29" i="31"/>
  <c r="C34" i="46" s="1"/>
  <c r="C43" i="31"/>
  <c r="C45" i="32"/>
  <c r="C49" i="32" s="1"/>
  <c r="E35" i="46" s="1"/>
  <c r="C12" i="33"/>
  <c r="C19" i="33"/>
  <c r="C35" i="33"/>
  <c r="D36" i="46" s="1"/>
  <c r="C29" i="34"/>
  <c r="C43" i="34"/>
  <c r="C26" i="36"/>
  <c r="C27" i="39"/>
  <c r="C35" i="39"/>
  <c r="C55" i="39"/>
  <c r="C58" i="39" s="1"/>
  <c r="F42" i="46" s="1"/>
  <c r="C15" i="40"/>
  <c r="C22" i="40"/>
  <c r="C30" i="40"/>
  <c r="C44" i="40"/>
  <c r="C49" i="40" s="1"/>
  <c r="E43" i="46" s="1"/>
  <c r="C11" i="41"/>
  <c r="B44" i="46" s="1"/>
  <c r="C32" i="41"/>
  <c r="C15" i="43"/>
  <c r="C22" i="43"/>
  <c r="C58" i="18"/>
  <c r="F21" i="46" s="1"/>
  <c r="C18" i="30"/>
  <c r="C55" i="37"/>
  <c r="C58" i="37" s="1"/>
  <c r="F40" i="46" s="1"/>
  <c r="C18" i="42"/>
  <c r="C38" i="42" s="1"/>
  <c r="F18" i="46"/>
  <c r="C27" i="8"/>
  <c r="C36" i="15"/>
  <c r="C9" i="16"/>
  <c r="C38" i="16" s="1"/>
  <c r="C34" i="17"/>
  <c r="D20" i="46" s="1"/>
  <c r="C54" i="17"/>
  <c r="C58" i="17" s="1"/>
  <c r="F20" i="46" s="1"/>
  <c r="C14" i="18"/>
  <c r="C21" i="18"/>
  <c r="C29" i="18"/>
  <c r="C9" i="19"/>
  <c r="C16" i="19"/>
  <c r="C23" i="19"/>
  <c r="C31" i="19"/>
  <c r="C45" i="19"/>
  <c r="C49" i="19" s="1"/>
  <c r="E22" i="46" s="1"/>
  <c r="C12" i="20"/>
  <c r="C19" i="20"/>
  <c r="C23" i="46"/>
  <c r="C54" i="20"/>
  <c r="C58" i="20" s="1"/>
  <c r="F23" i="46" s="1"/>
  <c r="C36" i="21"/>
  <c r="C9" i="22"/>
  <c r="C16" i="22"/>
  <c r="C23" i="22"/>
  <c r="C31" i="22"/>
  <c r="C45" i="22"/>
  <c r="C12" i="23"/>
  <c r="B26" i="46" s="1"/>
  <c r="C54" i="23"/>
  <c r="C58" i="23" s="1"/>
  <c r="F26" i="46" s="1"/>
  <c r="C36" i="24"/>
  <c r="C9" i="25"/>
  <c r="C16" i="25"/>
  <c r="C23" i="25"/>
  <c r="C31" i="25"/>
  <c r="C28" i="46" s="1"/>
  <c r="C45" i="25"/>
  <c r="C19" i="26"/>
  <c r="C10" i="28"/>
  <c r="C38" i="28" s="1"/>
  <c r="C23" i="28"/>
  <c r="C26" i="29"/>
  <c r="C32" i="46" s="1"/>
  <c r="C20" i="30"/>
  <c r="C55" i="30"/>
  <c r="C15" i="31"/>
  <c r="C22" i="31"/>
  <c r="C17" i="32"/>
  <c r="C24" i="32"/>
  <c r="C32" i="32"/>
  <c r="C55" i="33"/>
  <c r="C58" i="33" s="1"/>
  <c r="F36" i="46" s="1"/>
  <c r="C15" i="34"/>
  <c r="C22" i="34"/>
  <c r="C17" i="35"/>
  <c r="C31" i="35"/>
  <c r="C45" i="35"/>
  <c r="C49" i="35" s="1"/>
  <c r="E38" i="46" s="1"/>
  <c r="C12" i="36"/>
  <c r="C54" i="36"/>
  <c r="C58" i="36" s="1"/>
  <c r="F39" i="46" s="1"/>
  <c r="C14" i="37"/>
  <c r="C21" i="37"/>
  <c r="C29" i="37"/>
  <c r="C43" i="37"/>
  <c r="C49" i="37" s="1"/>
  <c r="E40" i="46" s="1"/>
  <c r="C10" i="38"/>
  <c r="C17" i="38"/>
  <c r="C24" i="38"/>
  <c r="C32" i="38"/>
  <c r="C13" i="39"/>
  <c r="C20" i="39"/>
  <c r="C26" i="41"/>
  <c r="C20" i="42"/>
  <c r="C28" i="42"/>
  <c r="C36" i="42"/>
  <c r="C9" i="43"/>
  <c r="C30" i="43"/>
  <c r="C46" i="46" s="1"/>
  <c r="C44" i="43"/>
  <c r="C43" i="25"/>
  <c r="C28" i="8"/>
  <c r="C20" i="46"/>
  <c r="C58" i="29"/>
  <c r="F32" i="46" s="1"/>
  <c r="C34" i="29"/>
  <c r="C30" i="8"/>
  <c r="C15" i="15"/>
  <c r="C22" i="15"/>
  <c r="C17" i="16"/>
  <c r="C24" i="16"/>
  <c r="C32" i="16"/>
  <c r="C13" i="17"/>
  <c r="C20" i="17"/>
  <c r="B20" i="46" s="1"/>
  <c r="G20" i="46" s="1"/>
  <c r="C28" i="17"/>
  <c r="C36" i="17"/>
  <c r="C44" i="18"/>
  <c r="C49" i="18" s="1"/>
  <c r="E21" i="46" s="1"/>
  <c r="C28" i="20"/>
  <c r="C15" i="21"/>
  <c r="C22" i="21"/>
  <c r="C30" i="21"/>
  <c r="C20" i="23"/>
  <c r="C28" i="23"/>
  <c r="C36" i="23"/>
  <c r="C15" i="24"/>
  <c r="C22" i="24"/>
  <c r="C28" i="26"/>
  <c r="C36" i="26"/>
  <c r="C9" i="27"/>
  <c r="C16" i="27"/>
  <c r="C23" i="27"/>
  <c r="C31" i="27"/>
  <c r="C32" i="28"/>
  <c r="C35" i="29"/>
  <c r="C55" i="29"/>
  <c r="C29" i="30"/>
  <c r="C33" i="46" s="1"/>
  <c r="C43" i="30"/>
  <c r="C31" i="31"/>
  <c r="C45" i="31"/>
  <c r="C12" i="32"/>
  <c r="B35" i="46" s="1"/>
  <c r="C18" i="32"/>
  <c r="C54" i="32"/>
  <c r="C58" i="32" s="1"/>
  <c r="F35" i="46" s="1"/>
  <c r="C14" i="33"/>
  <c r="C21" i="33"/>
  <c r="C29" i="33"/>
  <c r="C31" i="34"/>
  <c r="C45" i="34"/>
  <c r="C49" i="34" s="1"/>
  <c r="E37" i="46" s="1"/>
  <c r="C12" i="35"/>
  <c r="C38" i="35" s="1"/>
  <c r="C26" i="35"/>
  <c r="C20" i="36"/>
  <c r="C28" i="36"/>
  <c r="C39" i="46" s="1"/>
  <c r="C36" i="36"/>
  <c r="C34" i="38"/>
  <c r="D41" i="46" s="1"/>
  <c r="C29" i="39"/>
  <c r="C43" i="39"/>
  <c r="C49" i="39" s="1"/>
  <c r="E42" i="46" s="1"/>
  <c r="C10" i="40"/>
  <c r="C17" i="40"/>
  <c r="C24" i="40"/>
  <c r="C32" i="40"/>
  <c r="C35" i="41"/>
  <c r="C55" i="41"/>
  <c r="C58" i="41" s="1"/>
  <c r="F44" i="46" s="1"/>
  <c r="C17" i="43"/>
  <c r="C24" i="43"/>
  <c r="D46" i="46"/>
  <c r="C20" i="41"/>
  <c r="C15" i="42"/>
  <c r="C22" i="42"/>
  <c r="C30" i="42"/>
  <c r="C44" i="42"/>
  <c r="C11" i="43"/>
  <c r="C32" i="43"/>
  <c r="C24" i="46"/>
  <c r="C27" i="46"/>
  <c r="C32" i="8"/>
  <c r="C58" i="28"/>
  <c r="F31" i="46" s="1"/>
  <c r="C49" i="36"/>
  <c r="E39" i="46" s="1"/>
  <c r="D43" i="46"/>
  <c r="C58" i="40"/>
  <c r="F43" i="46" s="1"/>
  <c r="C58" i="19"/>
  <c r="F22" i="46" s="1"/>
  <c r="C58" i="25"/>
  <c r="F28" i="46" s="1"/>
  <c r="C58" i="16"/>
  <c r="F19" i="46" s="1"/>
  <c r="C31" i="15"/>
  <c r="C18" i="46" s="1"/>
  <c r="C45" i="15"/>
  <c r="C49" i="15" s="1"/>
  <c r="E18" i="46" s="1"/>
  <c r="C12" i="16"/>
  <c r="C10" i="18"/>
  <c r="C38" i="18" s="1"/>
  <c r="C17" i="18"/>
  <c r="C24" i="18"/>
  <c r="C12" i="19"/>
  <c r="C19" i="19"/>
  <c r="C27" i="19"/>
  <c r="C35" i="19"/>
  <c r="C55" i="19"/>
  <c r="C15" i="20"/>
  <c r="C43" i="20"/>
  <c r="C49" i="20" s="1"/>
  <c r="E23" i="46" s="1"/>
  <c r="C10" i="21"/>
  <c r="C38" i="21" s="1"/>
  <c r="C45" i="21"/>
  <c r="C12" i="22"/>
  <c r="C19" i="22"/>
  <c r="C27" i="22"/>
  <c r="C35" i="22"/>
  <c r="D25" i="46" s="1"/>
  <c r="C55" i="22"/>
  <c r="C58" i="22" s="1"/>
  <c r="F25" i="46" s="1"/>
  <c r="C10" i="24"/>
  <c r="C31" i="24"/>
  <c r="C45" i="24"/>
  <c r="C19" i="25"/>
  <c r="C35" i="25"/>
  <c r="D28" i="46" s="1"/>
  <c r="C55" i="25"/>
  <c r="C15" i="26"/>
  <c r="C43" i="26"/>
  <c r="C27" i="28"/>
  <c r="C31" i="46" s="1"/>
  <c r="C14" i="29"/>
  <c r="B32" i="46" s="1"/>
  <c r="C21" i="29"/>
  <c r="C16" i="30"/>
  <c r="C23" i="30"/>
  <c r="B33" i="46" s="1"/>
  <c r="C11" i="31"/>
  <c r="B34" i="46" s="1"/>
  <c r="C26" i="31"/>
  <c r="C20" i="32"/>
  <c r="C28" i="32"/>
  <c r="C35" i="46" s="1"/>
  <c r="C36" i="32"/>
  <c r="C11" i="34"/>
  <c r="C26" i="34"/>
  <c r="C20" i="35"/>
  <c r="C35" i="35"/>
  <c r="C55" i="35"/>
  <c r="C58" i="35" s="1"/>
  <c r="F38" i="46" s="1"/>
  <c r="C10" i="37"/>
  <c r="C24" i="37"/>
  <c r="C13" i="38"/>
  <c r="C20" i="38"/>
  <c r="C28" i="38"/>
  <c r="C36" i="38"/>
  <c r="C9" i="39"/>
  <c r="C16" i="39"/>
  <c r="C14" i="41"/>
  <c r="C21" i="41"/>
  <c r="C16" i="42"/>
  <c r="C23" i="42"/>
  <c r="C31" i="42"/>
  <c r="C45" i="42"/>
  <c r="C12" i="43"/>
  <c r="C18" i="43"/>
  <c r="C54" i="43"/>
  <c r="C58" i="43" s="1"/>
  <c r="F46" i="46" s="1"/>
  <c r="C49" i="43"/>
  <c r="E46" i="46" s="1"/>
  <c r="C45" i="46"/>
  <c r="C49" i="41"/>
  <c r="E44" i="46" s="1"/>
  <c r="C18" i="41"/>
  <c r="C34" i="41"/>
  <c r="D44" i="46" s="1"/>
  <c r="C18" i="40"/>
  <c r="C42" i="46"/>
  <c r="C18" i="39"/>
  <c r="C49" i="38"/>
  <c r="E41" i="46" s="1"/>
  <c r="C18" i="38"/>
  <c r="C38" i="38" s="1"/>
  <c r="C34" i="36"/>
  <c r="B38" i="46"/>
  <c r="C18" i="35"/>
  <c r="C34" i="35"/>
  <c r="C18" i="34"/>
  <c r="C34" i="34"/>
  <c r="D37" i="46" s="1"/>
  <c r="C43" i="33"/>
  <c r="C49" i="33" s="1"/>
  <c r="E36" i="46" s="1"/>
  <c r="C18" i="33"/>
  <c r="C27" i="33"/>
  <c r="C36" i="46" s="1"/>
  <c r="C34" i="32"/>
  <c r="D35" i="46" s="1"/>
  <c r="C49" i="31"/>
  <c r="E34" i="46" s="1"/>
  <c r="C34" i="31"/>
  <c r="D34" i="46" s="1"/>
  <c r="C49" i="30"/>
  <c r="E33" i="46" s="1"/>
  <c r="C49" i="29"/>
  <c r="E32" i="46" s="1"/>
  <c r="C18" i="29"/>
  <c r="C49" i="28"/>
  <c r="E31" i="46" s="1"/>
  <c r="C18" i="28"/>
  <c r="C34" i="28"/>
  <c r="D31" i="46" s="1"/>
  <c r="C18" i="27"/>
  <c r="B30" i="46" s="1"/>
  <c r="C34" i="27"/>
  <c r="D30" i="46" s="1"/>
  <c r="C49" i="26"/>
  <c r="E29" i="46" s="1"/>
  <c r="C12" i="26"/>
  <c r="C38" i="26" s="1"/>
  <c r="C27" i="26"/>
  <c r="C12" i="25"/>
  <c r="C49" i="24"/>
  <c r="E27" i="46" s="1"/>
  <c r="C18" i="24"/>
  <c r="C34" i="24"/>
  <c r="C49" i="23"/>
  <c r="E26" i="46" s="1"/>
  <c r="C34" i="23"/>
  <c r="C44" i="22"/>
  <c r="C49" i="22" s="1"/>
  <c r="E25" i="46" s="1"/>
  <c r="C28" i="22"/>
  <c r="C25" i="46" s="1"/>
  <c r="C13" i="22"/>
  <c r="C43" i="21"/>
  <c r="C12" i="21"/>
  <c r="C34" i="21"/>
  <c r="D24" i="46" s="1"/>
  <c r="C11" i="20"/>
  <c r="C38" i="20" s="1"/>
  <c r="C49" i="17"/>
  <c r="E20" i="46" s="1"/>
  <c r="C49" i="16"/>
  <c r="E19" i="46" s="1"/>
  <c r="C18" i="19"/>
  <c r="C34" i="19"/>
  <c r="C34" i="18"/>
  <c r="D21" i="46" s="1"/>
  <c r="C22" i="18"/>
  <c r="C18" i="17"/>
  <c r="C18" i="16"/>
  <c r="C34" i="16"/>
  <c r="D19" i="46" s="1"/>
  <c r="C18" i="15"/>
  <c r="B18" i="46" s="1"/>
  <c r="C34" i="15"/>
  <c r="C17" i="37"/>
  <c r="C32" i="37"/>
  <c r="C40" i="46" s="1"/>
  <c r="C18" i="37"/>
  <c r="C34" i="37"/>
  <c r="D40" i="46" s="1"/>
  <c r="C38" i="33"/>
  <c r="C38" i="32"/>
  <c r="C38" i="29"/>
  <c r="C49" i="8"/>
  <c r="C34" i="8"/>
  <c r="C35" i="8"/>
  <c r="C36" i="8"/>
  <c r="C29" i="8"/>
  <c r="C26" i="8"/>
  <c r="C21" i="8"/>
  <c r="C14" i="8"/>
  <c r="C15" i="8"/>
  <c r="C16" i="8"/>
  <c r="C17" i="8"/>
  <c r="C18" i="8"/>
  <c r="C22" i="46" l="1"/>
  <c r="D22" i="46"/>
  <c r="C38" i="43"/>
  <c r="C49" i="42"/>
  <c r="E45" i="46" s="1"/>
  <c r="G45" i="46" s="1"/>
  <c r="B45" i="46"/>
  <c r="C44" i="46"/>
  <c r="G44" i="46" s="1"/>
  <c r="C43" i="46"/>
  <c r="C38" i="40"/>
  <c r="C41" i="46"/>
  <c r="F47" i="46"/>
  <c r="G33" i="46"/>
  <c r="D29" i="46"/>
  <c r="B9" i="46"/>
  <c r="C38" i="30"/>
  <c r="C38" i="25"/>
  <c r="D18" i="46"/>
  <c r="G18" i="46" s="1"/>
  <c r="C29" i="46"/>
  <c r="D39" i="46"/>
  <c r="G39" i="46" s="1"/>
  <c r="B24" i="46"/>
  <c r="G24" i="46" s="1"/>
  <c r="B42" i="46"/>
  <c r="G30" i="46"/>
  <c r="G35" i="46"/>
  <c r="C38" i="36"/>
  <c r="B19" i="46"/>
  <c r="G19" i="46" s="1"/>
  <c r="C49" i="21"/>
  <c r="E24" i="46" s="1"/>
  <c r="C38" i="22"/>
  <c r="B36" i="46"/>
  <c r="G36" i="46" s="1"/>
  <c r="C38" i="46"/>
  <c r="G38" i="46" s="1"/>
  <c r="C49" i="25"/>
  <c r="E28" i="46" s="1"/>
  <c r="C38" i="15"/>
  <c r="B43" i="46"/>
  <c r="G43" i="46" s="1"/>
  <c r="B21" i="46"/>
  <c r="G21" i="46" s="1"/>
  <c r="D26" i="46"/>
  <c r="G26" i="46" s="1"/>
  <c r="C38" i="41"/>
  <c r="C37" i="46"/>
  <c r="B22" i="46"/>
  <c r="G22" i="46" s="1"/>
  <c r="D38" i="46"/>
  <c r="D45" i="46"/>
  <c r="B31" i="46"/>
  <c r="G31" i="46" s="1"/>
  <c r="D32" i="46"/>
  <c r="G32" i="46" s="1"/>
  <c r="B37" i="46"/>
  <c r="G37" i="46" s="1"/>
  <c r="B46" i="46"/>
  <c r="G46" i="46" s="1"/>
  <c r="D27" i="46"/>
  <c r="C38" i="24"/>
  <c r="D42" i="46"/>
  <c r="C38" i="39"/>
  <c r="B41" i="46"/>
  <c r="G41" i="46" s="1"/>
  <c r="C38" i="37"/>
  <c r="B40" i="46"/>
  <c r="G40" i="46" s="1"/>
  <c r="C38" i="34"/>
  <c r="G34" i="46"/>
  <c r="C38" i="31"/>
  <c r="C38" i="27"/>
  <c r="B29" i="46"/>
  <c r="B28" i="46"/>
  <c r="B27" i="46"/>
  <c r="G27" i="46" s="1"/>
  <c r="C38" i="23"/>
  <c r="B25" i="46"/>
  <c r="G25" i="46" s="1"/>
  <c r="B23" i="46"/>
  <c r="G23" i="46" s="1"/>
  <c r="E17" i="46"/>
  <c r="C38" i="19"/>
  <c r="B6" i="46"/>
  <c r="C17" i="46"/>
  <c r="D17" i="46"/>
  <c r="B7" i="46"/>
  <c r="B17" i="46"/>
  <c r="B5" i="46"/>
  <c r="C38" i="8"/>
  <c r="G29" i="46" l="1"/>
  <c r="G28" i="46"/>
  <c r="D47" i="46"/>
  <c r="C47" i="46"/>
  <c r="E47" i="46"/>
  <c r="B8" i="46"/>
  <c r="B11" i="46" s="1"/>
  <c r="G42" i="46"/>
  <c r="B47" i="46"/>
  <c r="G17" i="46"/>
  <c r="G47" i="46" l="1"/>
</calcChain>
</file>

<file path=xl/sharedStrings.xml><?xml version="1.0" encoding="utf-8"?>
<sst xmlns="http://schemas.openxmlformats.org/spreadsheetml/2006/main" count="1827" uniqueCount="101">
  <si>
    <t>PADARIA / CONFEITARIA</t>
  </si>
  <si>
    <t>PAX</t>
  </si>
  <si>
    <t>TOTAL</t>
  </si>
  <si>
    <t>PÃES SALGADOS</t>
  </si>
  <si>
    <t>Mini Pão Francês</t>
  </si>
  <si>
    <t>Mini Australiano</t>
  </si>
  <si>
    <t>Pão Francês 50g</t>
  </si>
  <si>
    <t>unidades</t>
  </si>
  <si>
    <t xml:space="preserve">PADARIA </t>
  </si>
  <si>
    <t>Mini Pão Integral</t>
  </si>
  <si>
    <t>Mini Pão Gergilim</t>
  </si>
  <si>
    <t>Mini Pão de coco</t>
  </si>
  <si>
    <t>Mini Bisnaguinha</t>
  </si>
  <si>
    <t>Pão de leite 50g</t>
  </si>
  <si>
    <t xml:space="preserve">Mini Baguete Rustica </t>
  </si>
  <si>
    <t>Refeitório Funcionarios</t>
  </si>
  <si>
    <r>
      <rPr>
        <b/>
        <sz val="10"/>
        <rFont val="Arial"/>
        <family val="2"/>
      </rPr>
      <t>ATENÇÃO ALTERAR SOMENTE EM VERMELHO, ALTERAR SOMENTE O NUMERO DE PESSOAS</t>
    </r>
    <r>
      <rPr>
        <b/>
        <sz val="10"/>
        <color rgb="FFFF0000"/>
        <rFont val="Arial"/>
        <family val="2"/>
      </rPr>
      <t xml:space="preserve"> PAX</t>
    </r>
  </si>
  <si>
    <t>Baguete Francesa 300g</t>
  </si>
  <si>
    <t>PRODUÇÃO</t>
  </si>
  <si>
    <t>VALOR</t>
  </si>
  <si>
    <t>HOTEL NANNAI MURO ALTO</t>
  </si>
  <si>
    <t>RESTAURANTE NANNAI</t>
  </si>
  <si>
    <t>FOLHADOS</t>
  </si>
  <si>
    <t>Mini Pão de Chocolate</t>
  </si>
  <si>
    <t>Mini Croissant</t>
  </si>
  <si>
    <t>Mini Folhado Salgado</t>
  </si>
  <si>
    <t>Produtos Volantes</t>
  </si>
  <si>
    <t>Pães salgados e doces</t>
  </si>
  <si>
    <t>Pão de queijo</t>
  </si>
  <si>
    <t>Folhado Salgado</t>
  </si>
  <si>
    <t>Mini Sonho</t>
  </si>
  <si>
    <t>Mini Donuts</t>
  </si>
  <si>
    <t xml:space="preserve">Mini Pão de Milho ou </t>
  </si>
  <si>
    <t>Mini Pão Calabresa</t>
  </si>
  <si>
    <t>Mini Pão de Frios</t>
  </si>
  <si>
    <t>Mini Brioche ou Pão de Açucar</t>
  </si>
  <si>
    <t>Mini Pão Delicia recheado</t>
  </si>
  <si>
    <t>Mini Pão doce</t>
  </si>
  <si>
    <t>Focaccia recheada</t>
  </si>
  <si>
    <t>Mini cookies</t>
  </si>
  <si>
    <t>Mini Tiger</t>
  </si>
  <si>
    <t>Pão de Forma integral</t>
  </si>
  <si>
    <t>Pão de forma Tradicional</t>
  </si>
  <si>
    <t>Pão de Forma Maritoso</t>
  </si>
  <si>
    <t>Pães de Decoração Rustico</t>
  </si>
  <si>
    <t>Doce do Dia verificar cardápio</t>
  </si>
  <si>
    <t xml:space="preserve">PÃES DOCES </t>
  </si>
  <si>
    <t>Total:</t>
  </si>
  <si>
    <t>CATEGORIA</t>
  </si>
  <si>
    <t>PRODUTO</t>
  </si>
  <si>
    <t>VALOR UNITÁRIO</t>
  </si>
  <si>
    <t>Mini Pão de Milho ou</t>
  </si>
  <si>
    <t>Mini Baguete Rustica</t>
  </si>
  <si>
    <t>PÃES DOCES</t>
  </si>
  <si>
    <t>PRODUTOS VOLANTES</t>
  </si>
  <si>
    <t>REFEITÓRIO</t>
  </si>
  <si>
    <t>⚠️ ALTERE OS VALORES AQUI - ATUALIZA TODAS AS ABAS AUTOMATICAMENTE</t>
  </si>
  <si>
    <t>Dia: 01/06/2026</t>
  </si>
  <si>
    <t>Dia: 02/06/2026</t>
  </si>
  <si>
    <t>Dia: 03/06/2026</t>
  </si>
  <si>
    <t>Dia: 04/06/2026</t>
  </si>
  <si>
    <t>Dia: 05/06/2026</t>
  </si>
  <si>
    <t>Dia: 06/06/2026</t>
  </si>
  <si>
    <t>Dia: 07/06/2026</t>
  </si>
  <si>
    <t>Dia: 08/06/2026</t>
  </si>
  <si>
    <t>Dia: 09/06/2026</t>
  </si>
  <si>
    <t>Dia: 10/06/2026</t>
  </si>
  <si>
    <t>Dia: 11/06/2026</t>
  </si>
  <si>
    <t>Dia: 12/06/2026</t>
  </si>
  <si>
    <t>Dia: 13/06/2026</t>
  </si>
  <si>
    <t>Dia: 14/06/2026</t>
  </si>
  <si>
    <t>Dia: 15/06/2026</t>
  </si>
  <si>
    <t>Dia: 16/06/2026</t>
  </si>
  <si>
    <t>Dia: 17/06/2026</t>
  </si>
  <si>
    <t>Dia: 18/06/2026</t>
  </si>
  <si>
    <t>Dia: 19/06/2026</t>
  </si>
  <si>
    <t>Dia: 20/06/2026</t>
  </si>
  <si>
    <t>Dia: 21/06/2026</t>
  </si>
  <si>
    <t>Dia: 22/06/2026</t>
  </si>
  <si>
    <t>Dia: 23/06/2026</t>
  </si>
  <si>
    <t>Dia: 24/06/2026</t>
  </si>
  <si>
    <t>Dia: 25/06/2026</t>
  </si>
  <si>
    <t>Dia: 26/06/2026</t>
  </si>
  <si>
    <t>Dia: 27/06/2026</t>
  </si>
  <si>
    <t>Dia: 28/06/2026</t>
  </si>
  <si>
    <t>Dia: 29/06/2026</t>
  </si>
  <si>
    <t>Dia: 30/06/2026</t>
  </si>
  <si>
    <t>RESUMO MENSAL - JUNHO 2026</t>
  </si>
  <si>
    <t>HOTEL NANNAI MURO ALTO - PADARIA / CONFEITARIA</t>
  </si>
  <si>
    <t>CUSTO TOTAL MENSAL</t>
  </si>
  <si>
    <t>Pães Salgados</t>
  </si>
  <si>
    <t>Pães Doces</t>
  </si>
  <si>
    <t>Folhados</t>
  </si>
  <si>
    <t>Refeitório Funcionários</t>
  </si>
  <si>
    <t>TOTAL GERAL DO MÊS</t>
  </si>
  <si>
    <t>DETALHAMENTO POR DIA</t>
  </si>
  <si>
    <t>DIA</t>
  </si>
  <si>
    <t>PROD. VOLANTES</t>
  </si>
  <si>
    <t>TOTAL DIA</t>
  </si>
  <si>
    <t>⚠️ Este resumo atualiza automaticamente conforme os dados das abas diárias são alterados.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</si>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</sst>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_(&quot;R$ &quot;* #,##0.00_);_(&quot;R$ &quot;* \(#,##0.00\);_(&quot;R$ &quot;* &quot;-&quot;??_);_(@_)"/>
    <numFmt numFmtId="166" formatCode="[$-F800]dddd\,\ mmmm\ dd\,\ yyyy"/>
    <numFmt numFmtId="167" formatCode="\R&quot;R$&quot;\ #,##0.00"/>
  </numFmts>
  <fonts count="1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</font>
    <font>
      <b/>
      <sz val="10"/>
      <color rgb="FFFFFFFF"/>
      <name val="Arial"/>
    </font>
    <font>
      <b/>
      <sz val="10"/>
      <color rgb="FFC00000"/>
      <name val="Arial"/>
    </font>
    <font>
      <b/>
      <sz val="16"/>
      <color rgb="FFFFFFFF"/>
      <name val="Arial"/>
    </font>
    <font>
      <sz val="12"/>
      <name val="Arial"/>
    </font>
    <font>
      <b/>
      <sz val="14"/>
      <color rgb="FFFFFFFF"/>
      <name val="Arial"/>
    </font>
    <font>
      <i/>
      <sz val="10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0" fontId="1" fillId="2" borderId="12" xfId="0" applyFont="1" applyFill="1" applyBorder="1" applyAlignment="1">
      <alignment horizontal="left" vertical="center"/>
    </xf>
    <xf numFmtId="0" fontId="1" fillId="2" borderId="1" xfId="0" applyFont="1" applyFill="1" applyBorder="1"/>
    <xf numFmtId="165" fontId="1" fillId="2" borderId="2" xfId="0" applyNumberFormat="1" applyFont="1" applyFill="1" applyBorder="1"/>
    <xf numFmtId="166" fontId="2" fillId="4" borderId="0" xfId="0" applyNumberFormat="1" applyFont="1" applyFill="1" applyAlignment="1">
      <alignment horizontal="left"/>
    </xf>
    <xf numFmtId="0" fontId="1" fillId="2" borderId="3" xfId="0" applyFont="1" applyFill="1" applyBorder="1"/>
    <xf numFmtId="0" fontId="3" fillId="0" borderId="0" xfId="0" applyFont="1"/>
    <xf numFmtId="0" fontId="4" fillId="0" borderId="0" xfId="0" applyFont="1"/>
    <xf numFmtId="0" fontId="0" fillId="4" borderId="2" xfId="0" applyFill="1" applyBorder="1"/>
    <xf numFmtId="0" fontId="0" fillId="4" borderId="3" xfId="0" applyFill="1" applyBorder="1"/>
    <xf numFmtId="14" fontId="1" fillId="3" borderId="9" xfId="0" applyNumberFormat="1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1" fillId="2" borderId="2" xfId="0" applyFont="1" applyFill="1" applyBorder="1"/>
    <xf numFmtId="0" fontId="2" fillId="4" borderId="1" xfId="0" applyFont="1" applyFill="1" applyBorder="1"/>
    <xf numFmtId="164" fontId="1" fillId="0" borderId="5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14" fontId="1" fillId="3" borderId="13" xfId="0" applyNumberFormat="1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7" fillId="5" borderId="0" xfId="0" applyFont="1" applyFill="1"/>
    <xf numFmtId="165" fontId="1" fillId="0" borderId="2" xfId="0" applyNumberFormat="1" applyFont="1" applyBorder="1"/>
    <xf numFmtId="0" fontId="1" fillId="0" borderId="3" xfId="0" applyFont="1" applyBorder="1"/>
    <xf numFmtId="0" fontId="6" fillId="6" borderId="17" xfId="0" applyFont="1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2" fontId="1" fillId="0" borderId="7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Border="1"/>
    <xf numFmtId="0" fontId="8" fillId="0" borderId="0" xfId="0" applyFont="1"/>
    <xf numFmtId="0" fontId="9" fillId="7" borderId="0" xfId="0" applyFont="1" applyFill="1"/>
    <xf numFmtId="167" fontId="0" fillId="0" borderId="0" xfId="0" applyNumberFormat="1"/>
    <xf numFmtId="167" fontId="10" fillId="0" borderId="0" xfId="0" applyNumberFormat="1" applyFont="1"/>
    <xf numFmtId="0" fontId="10" fillId="7" borderId="0" xfId="0" applyFont="1" applyFill="1"/>
    <xf numFmtId="0" fontId="11" fillId="7" borderId="0" xfId="0" applyFont="1" applyFill="1"/>
    <xf numFmtId="0" fontId="13" fillId="7" borderId="0" xfId="0" applyFont="1" applyFill="1"/>
    <xf numFmtId="0" fontId="9" fillId="7" borderId="10" xfId="0" applyFont="1" applyFill="1" applyBorder="1"/>
    <xf numFmtId="0" fontId="8" fillId="8" borderId="9" xfId="0" applyFont="1" applyFill="1" applyBorder="1"/>
    <xf numFmtId="0" fontId="0" fillId="0" borderId="9" xfId="0" applyBorder="1"/>
    <xf numFmtId="167" fontId="0" fillId="0" borderId="9" xfId="0" applyNumberFormat="1" applyBorder="1"/>
    <xf numFmtId="167" fontId="9" fillId="7" borderId="9" xfId="0" applyNumberFormat="1" applyFont="1" applyFill="1" applyBorder="1"/>
    <xf numFmtId="0" fontId="8" fillId="8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167" fontId="12" fillId="0" borderId="9" xfId="0" applyNumberFormat="1" applyFont="1" applyBorder="1"/>
    <xf numFmtId="167" fontId="13" fillId="7" borderId="12" xfId="0" applyNumberFormat="1" applyFont="1" applyFill="1" applyBorder="1"/>
    <xf numFmtId="0" fontId="0" fillId="9" borderId="9" xfId="0" applyFill="1" applyBorder="1" applyAlignment="1">
      <alignment horizontal="center"/>
    </xf>
    <xf numFmtId="167" fontId="0" fillId="9" borderId="9" xfId="0" applyNumberFormat="1" applyFill="1" applyBorder="1"/>
    <xf numFmtId="0" fontId="14" fillId="0" borderId="0" xfId="0" applyFont="1"/>
    <xf numFmtId="0" fontId="6" fillId="5" borderId="6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929A-DFBC-4B19-B8F7-7521EFA9D98D}">
  <dimension ref="A1:E32"/>
  <sheetViews>
    <sheetView workbookViewId="0"/>
  </sheetViews>
  <sheetFormatPr defaultRowHeight="12.5" x14ac:dyDescent="0.25"/>
  <cols>
    <col min="1" max="1" width="27.26953125" customWidth="1"/>
    <col min="2" max="2" width="45.453125" customWidth="1"/>
    <col min="3" max="3" width="21.81640625" customWidth="1"/>
    <col min="5" max="5" width="72.7265625" customWidth="1"/>
  </cols>
  <sheetData>
    <row r="1" spans="1:5" ht="13" x14ac:dyDescent="0.3">
      <c r="A1" s="46" t="s">
        <v>48</v>
      </c>
      <c r="B1" s="46" t="s">
        <v>49</v>
      </c>
      <c r="C1" s="46" t="s">
        <v>50</v>
      </c>
      <c r="E1" s="49" t="s">
        <v>56</v>
      </c>
    </row>
    <row r="2" spans="1:5" ht="13" x14ac:dyDescent="0.3">
      <c r="A2" t="s">
        <v>3</v>
      </c>
      <c r="B2" t="s">
        <v>4</v>
      </c>
      <c r="C2" s="48">
        <v>0.4</v>
      </c>
    </row>
    <row r="3" spans="1:5" ht="13" x14ac:dyDescent="0.3">
      <c r="A3" t="s">
        <v>3</v>
      </c>
      <c r="B3" t="s">
        <v>9</v>
      </c>
      <c r="C3" s="48">
        <v>0.6</v>
      </c>
    </row>
    <row r="4" spans="1:5" ht="13" x14ac:dyDescent="0.3">
      <c r="A4" t="s">
        <v>3</v>
      </c>
      <c r="B4" t="s">
        <v>5</v>
      </c>
      <c r="C4" s="48">
        <v>0.8</v>
      </c>
    </row>
    <row r="5" spans="1:5" ht="13" x14ac:dyDescent="0.3">
      <c r="A5" t="s">
        <v>3</v>
      </c>
      <c r="B5" t="s">
        <v>10</v>
      </c>
      <c r="C5" s="48">
        <v>0.45</v>
      </c>
    </row>
    <row r="6" spans="1:5" ht="13" x14ac:dyDescent="0.3">
      <c r="A6" t="s">
        <v>3</v>
      </c>
      <c r="B6" t="s">
        <v>51</v>
      </c>
      <c r="C6" s="48">
        <v>0.45</v>
      </c>
    </row>
    <row r="7" spans="1:5" ht="13" x14ac:dyDescent="0.3">
      <c r="A7" t="s">
        <v>3</v>
      </c>
      <c r="B7" t="s">
        <v>52</v>
      </c>
      <c r="C7" s="48">
        <v>0.65</v>
      </c>
    </row>
    <row r="8" spans="1:5" ht="13" x14ac:dyDescent="0.3">
      <c r="A8" t="s">
        <v>3</v>
      </c>
      <c r="B8" t="s">
        <v>33</v>
      </c>
      <c r="C8" s="48">
        <v>0.8</v>
      </c>
    </row>
    <row r="9" spans="1:5" ht="13" x14ac:dyDescent="0.3">
      <c r="A9" t="s">
        <v>3</v>
      </c>
      <c r="B9" t="s">
        <v>36</v>
      </c>
      <c r="C9" s="48">
        <v>0.7</v>
      </c>
    </row>
    <row r="10" spans="1:5" ht="13" x14ac:dyDescent="0.3">
      <c r="A10" t="s">
        <v>3</v>
      </c>
      <c r="B10" t="s">
        <v>38</v>
      </c>
      <c r="C10" s="48">
        <v>1.55</v>
      </c>
    </row>
    <row r="11" spans="1:5" ht="13" x14ac:dyDescent="0.3">
      <c r="A11" t="s">
        <v>3</v>
      </c>
      <c r="B11" t="s">
        <v>40</v>
      </c>
      <c r="C11" s="48">
        <v>0.4</v>
      </c>
    </row>
    <row r="12" spans="1:5" ht="13" x14ac:dyDescent="0.3">
      <c r="A12" t="s">
        <v>3</v>
      </c>
      <c r="B12" t="s">
        <v>34</v>
      </c>
      <c r="C12" s="48">
        <v>0.8</v>
      </c>
    </row>
    <row r="13" spans="1:5" ht="13" x14ac:dyDescent="0.3">
      <c r="A13" t="s">
        <v>3</v>
      </c>
      <c r="B13" t="s">
        <v>41</v>
      </c>
      <c r="C13" s="48">
        <v>3</v>
      </c>
    </row>
    <row r="14" spans="1:5" ht="13" x14ac:dyDescent="0.3">
      <c r="A14" t="s">
        <v>3</v>
      </c>
      <c r="B14" t="s">
        <v>42</v>
      </c>
      <c r="C14" s="48">
        <v>2.8</v>
      </c>
    </row>
    <row r="15" spans="1:5" ht="13" x14ac:dyDescent="0.3">
      <c r="A15" t="s">
        <v>3</v>
      </c>
      <c r="B15" t="s">
        <v>43</v>
      </c>
      <c r="C15" s="48">
        <v>3</v>
      </c>
    </row>
    <row r="16" spans="1:5" ht="13" x14ac:dyDescent="0.3">
      <c r="A16" t="s">
        <v>3</v>
      </c>
      <c r="B16" t="s">
        <v>17</v>
      </c>
      <c r="C16" s="48">
        <v>2.6</v>
      </c>
    </row>
    <row r="17" spans="1:3" ht="13" x14ac:dyDescent="0.3">
      <c r="A17" t="s">
        <v>3</v>
      </c>
      <c r="B17" t="s">
        <v>44</v>
      </c>
      <c r="C17" s="48">
        <v>3.8</v>
      </c>
    </row>
    <row r="18" spans="1:3" ht="13" x14ac:dyDescent="0.3">
      <c r="A18" t="s">
        <v>53</v>
      </c>
      <c r="B18" t="s">
        <v>35</v>
      </c>
      <c r="C18" s="48">
        <v>0.6</v>
      </c>
    </row>
    <row r="19" spans="1:3" ht="13" x14ac:dyDescent="0.3">
      <c r="A19" t="s">
        <v>53</v>
      </c>
      <c r="B19" t="s">
        <v>12</v>
      </c>
      <c r="C19" s="48">
        <v>0.5</v>
      </c>
    </row>
    <row r="20" spans="1:3" ht="13" x14ac:dyDescent="0.3">
      <c r="A20" t="s">
        <v>53</v>
      </c>
      <c r="B20" t="s">
        <v>11</v>
      </c>
      <c r="C20" s="48">
        <v>0.75</v>
      </c>
    </row>
    <row r="21" spans="1:3" ht="13" x14ac:dyDescent="0.3">
      <c r="A21" t="s">
        <v>53</v>
      </c>
      <c r="B21" t="s">
        <v>37</v>
      </c>
      <c r="C21" s="48">
        <v>0.6</v>
      </c>
    </row>
    <row r="22" spans="1:3" ht="13" x14ac:dyDescent="0.3">
      <c r="A22" t="s">
        <v>53</v>
      </c>
      <c r="B22" t="s">
        <v>31</v>
      </c>
      <c r="C22" s="48">
        <v>0.8</v>
      </c>
    </row>
    <row r="23" spans="1:3" ht="13" x14ac:dyDescent="0.3">
      <c r="A23" t="s">
        <v>53</v>
      </c>
      <c r="B23" t="s">
        <v>30</v>
      </c>
      <c r="C23" s="48">
        <v>0.8</v>
      </c>
    </row>
    <row r="24" spans="1:3" ht="13" x14ac:dyDescent="0.3">
      <c r="A24" t="s">
        <v>53</v>
      </c>
      <c r="B24" t="s">
        <v>39</v>
      </c>
      <c r="C24" s="48">
        <v>0.85</v>
      </c>
    </row>
    <row r="25" spans="1:3" ht="13" x14ac:dyDescent="0.3">
      <c r="A25" t="s">
        <v>22</v>
      </c>
      <c r="B25" t="s">
        <v>24</v>
      </c>
      <c r="C25" s="48">
        <v>1.6</v>
      </c>
    </row>
    <row r="26" spans="1:3" ht="13" x14ac:dyDescent="0.3">
      <c r="A26" t="s">
        <v>22</v>
      </c>
      <c r="B26" t="s">
        <v>23</v>
      </c>
      <c r="C26" s="48">
        <v>1.8</v>
      </c>
    </row>
    <row r="27" spans="1:3" ht="13" x14ac:dyDescent="0.3">
      <c r="A27" t="s">
        <v>22</v>
      </c>
      <c r="B27" t="s">
        <v>25</v>
      </c>
      <c r="C27" s="48">
        <v>0.95</v>
      </c>
    </row>
    <row r="28" spans="1:3" ht="13" x14ac:dyDescent="0.3">
      <c r="A28" t="s">
        <v>54</v>
      </c>
      <c r="B28" t="s">
        <v>28</v>
      </c>
      <c r="C28" s="48">
        <v>0.63</v>
      </c>
    </row>
    <row r="29" spans="1:3" ht="13" x14ac:dyDescent="0.3">
      <c r="A29" t="s">
        <v>54</v>
      </c>
      <c r="B29" t="s">
        <v>29</v>
      </c>
      <c r="C29" s="48">
        <v>0.95</v>
      </c>
    </row>
    <row r="30" spans="1:3" ht="13" x14ac:dyDescent="0.3">
      <c r="A30" t="s">
        <v>54</v>
      </c>
      <c r="B30" t="s">
        <v>45</v>
      </c>
      <c r="C30" s="48">
        <v>0.95</v>
      </c>
    </row>
    <row r="31" spans="1:3" ht="13" x14ac:dyDescent="0.3">
      <c r="A31" t="s">
        <v>55</v>
      </c>
      <c r="B31" t="s">
        <v>6</v>
      </c>
      <c r="C31" s="48">
        <v>0.65</v>
      </c>
    </row>
    <row r="32" spans="1:3" ht="13" x14ac:dyDescent="0.3">
      <c r="A32" t="s">
        <v>55</v>
      </c>
      <c r="B32" t="s">
        <v>13</v>
      </c>
      <c r="C32" s="48">
        <v>0.8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C5EA-5481-45D5-9DF0-3DC452F1C483}">
  <dimension ref="A1:O58"/>
  <sheetViews>
    <sheetView topLeftCell="A3" workbookViewId="0">
      <selection activeCell="C6" sqref="C6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57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/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A943-AA8E-4149-9C9B-686E19525C92}">
  <dimension ref="A1:O58"/>
  <sheetViews>
    <sheetView topLeftCell="A42" workbookViewId="0">
      <selection activeCell="C41" sqref="C4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58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DD99-C10E-4D5E-87C5-E61E25091BA7}">
  <dimension ref="A1:O58"/>
  <sheetViews>
    <sheetView workbookViewId="0">
      <selection activeCell="C41" sqref="C4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59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186C-33D0-4760-AD70-12EABA4D2265}">
  <dimension ref="A1:O58"/>
  <sheetViews>
    <sheetView workbookViewId="0">
      <selection activeCell="C41" sqref="C4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60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D9B6-2FD2-428F-BD90-1D19D6B91389}">
  <dimension ref="A1:O58"/>
  <sheetViews>
    <sheetView workbookViewId="0">
      <selection activeCell="C41" sqref="C4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61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1825-4596-43AF-A7E2-A77092C0EB71}">
  <dimension ref="A1:O58"/>
  <sheetViews>
    <sheetView tabSelected="1" workbookViewId="0">
      <selection activeCell="C42" sqref="C42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62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200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180</v>
      </c>
      <c r="B9" s="7">
        <f>IFERROR(VLOOKUP(D9,PREÇOS!$B$2:$C$32,2,FALSE),0)</f>
        <v>0.4</v>
      </c>
      <c r="C9" s="7">
        <f>$A$9*$B$9</f>
        <v>72</v>
      </c>
      <c r="D9" s="2" t="s">
        <v>4</v>
      </c>
    </row>
    <row r="10" spans="1:15" ht="15.5" x14ac:dyDescent="0.35">
      <c r="A10" s="6">
        <f>$C$6*0.2</f>
        <v>40</v>
      </c>
      <c r="B10" s="7">
        <f>IFERROR(VLOOKUP(D10,PREÇOS!$B$2:$C$32,2,FALSE),0)</f>
        <v>0.6</v>
      </c>
      <c r="C10" s="7">
        <f>$A$10*$B$10</f>
        <v>24</v>
      </c>
      <c r="D10" s="2" t="s">
        <v>9</v>
      </c>
    </row>
    <row r="11" spans="1:15" ht="15.5" x14ac:dyDescent="0.35">
      <c r="A11" s="6">
        <f>$C$6*0.2</f>
        <v>40</v>
      </c>
      <c r="B11" s="7">
        <f>IFERROR(VLOOKUP(D11,PREÇOS!$B$2:$C$32,2,FALSE),0)</f>
        <v>0.8</v>
      </c>
      <c r="C11" s="7">
        <f>$A$11*$B$11</f>
        <v>32</v>
      </c>
      <c r="D11" s="2" t="s">
        <v>5</v>
      </c>
      <c r="F11" s="3"/>
    </row>
    <row r="12" spans="1:15" ht="15.5" x14ac:dyDescent="0.35">
      <c r="A12" s="6">
        <f>$C$6*0.2</f>
        <v>40</v>
      </c>
      <c r="B12" s="7">
        <f>IFERROR(VLOOKUP(D12,PREÇOS!$B$2:$C$32,2,FALSE),0)</f>
        <v>0.45</v>
      </c>
      <c r="C12" s="7">
        <f>$A$12*$B$12</f>
        <v>18</v>
      </c>
      <c r="D12" s="2" t="s">
        <v>10</v>
      </c>
      <c r="E12" s="14"/>
      <c r="M12" s="15"/>
    </row>
    <row r="13" spans="1:15" ht="15.5" x14ac:dyDescent="0.35">
      <c r="A13" s="6">
        <f>$C$6*0.2</f>
        <v>40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20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40</v>
      </c>
      <c r="B15" s="7">
        <f>IFERROR(VLOOKUP(D15,PREÇOS!$B$2:$C$32,2,FALSE),0)</f>
        <v>0.8</v>
      </c>
      <c r="C15" s="7">
        <f>$A$15*$B$15</f>
        <v>32</v>
      </c>
      <c r="D15" s="2" t="s">
        <v>33</v>
      </c>
    </row>
    <row r="16" spans="1:15" ht="15.5" x14ac:dyDescent="0.35">
      <c r="A16" s="6">
        <f>$C$6*0.2</f>
        <v>40</v>
      </c>
      <c r="B16" s="7">
        <f>IFERROR(VLOOKUP(D16,PREÇOS!$B$2:$C$32,2,FALSE),0)</f>
        <v>0.7</v>
      </c>
      <c r="C16" s="7">
        <f>$A$16*$B$16</f>
        <v>28</v>
      </c>
      <c r="D16" s="2" t="s">
        <v>36</v>
      </c>
    </row>
    <row r="17" spans="1:4" ht="15.5" x14ac:dyDescent="0.35">
      <c r="A17" s="6">
        <f>$C$6*0.01</f>
        <v>2</v>
      </c>
      <c r="B17" s="7">
        <f>IFERROR(VLOOKUP(D17,PREÇOS!$B$2:$C$32,2,FALSE),0)</f>
        <v>1.55</v>
      </c>
      <c r="C17" s="7">
        <f>$A$17*$B$17</f>
        <v>3.1</v>
      </c>
      <c r="D17" s="2" t="s">
        <v>38</v>
      </c>
    </row>
    <row r="18" spans="1:4" ht="15.5" x14ac:dyDescent="0.35">
      <c r="A18" s="6">
        <f>$C$6*0.3</f>
        <v>60</v>
      </c>
      <c r="B18" s="7">
        <f>IFERROR(VLOOKUP(D18,PREÇOS!$B$2:$C$32,2,FALSE),0)</f>
        <v>0.4</v>
      </c>
      <c r="C18" s="7">
        <f>$A$18*$B$18</f>
        <v>24</v>
      </c>
      <c r="D18" s="2" t="s">
        <v>40</v>
      </c>
    </row>
    <row r="19" spans="1:4" ht="15.5" x14ac:dyDescent="0.35">
      <c r="A19" s="6">
        <f>$C$6*0.2</f>
        <v>40</v>
      </c>
      <c r="B19" s="7">
        <f>IFERROR(VLOOKUP(D19,PREÇOS!$B$2:$C$32,2,FALSE),0)</f>
        <v>0.8</v>
      </c>
      <c r="C19" s="7">
        <f>$A$19*$B$19</f>
        <v>32</v>
      </c>
      <c r="D19" s="2" t="s">
        <v>34</v>
      </c>
    </row>
    <row r="20" spans="1:4" ht="15.5" x14ac:dyDescent="0.35">
      <c r="A20" s="6">
        <f>$C$6*0.004</f>
        <v>0.8</v>
      </c>
      <c r="B20" s="7">
        <f>IFERROR(VLOOKUP(D20,PREÇOS!$B$2:$C$32,2,FALSE),0)</f>
        <v>3</v>
      </c>
      <c r="C20" s="7">
        <f>$A$20*$B$20</f>
        <v>2.4000000000000004</v>
      </c>
      <c r="D20" s="2" t="s">
        <v>41</v>
      </c>
    </row>
    <row r="21" spans="1:4" ht="15.5" x14ac:dyDescent="0.35">
      <c r="A21" s="6">
        <f>$C$6*0.009</f>
        <v>1.7999999999999998</v>
      </c>
      <c r="B21" s="7">
        <f>IFERROR(VLOOKUP(D21,PREÇOS!$B$2:$C$32,2,FALSE),0)</f>
        <v>2.8</v>
      </c>
      <c r="C21" s="7">
        <f>$A$21*$B$21</f>
        <v>5.0399999999999991</v>
      </c>
      <c r="D21" s="2" t="s">
        <v>42</v>
      </c>
    </row>
    <row r="22" spans="1:4" ht="15.5" x14ac:dyDescent="0.35">
      <c r="A22" s="6">
        <f>$C$6*0.004</f>
        <v>0.8</v>
      </c>
      <c r="B22" s="7">
        <f>IFERROR(VLOOKUP(D22,PREÇOS!$B$2:$C$32,2,FALSE),0)</f>
        <v>3</v>
      </c>
      <c r="C22" s="7">
        <f>$A$22*$B$22</f>
        <v>2.4000000000000004</v>
      </c>
      <c r="D22" s="2" t="s">
        <v>43</v>
      </c>
    </row>
    <row r="23" spans="1:4" ht="15.5" x14ac:dyDescent="0.35">
      <c r="A23" s="6">
        <f>$C$6*0.04</f>
        <v>8</v>
      </c>
      <c r="B23" s="7">
        <f>IFERROR(VLOOKUP(D23,PREÇOS!$B$2:$C$32,2,FALSE),0)</f>
        <v>2.6</v>
      </c>
      <c r="C23" s="7">
        <f>$A$23*$B$23</f>
        <v>20.8</v>
      </c>
      <c r="D23" s="2" t="s">
        <v>17</v>
      </c>
    </row>
    <row r="24" spans="1:4" ht="15.5" x14ac:dyDescent="0.35">
      <c r="A24" s="6">
        <f>$C$6*0.04</f>
        <v>8</v>
      </c>
      <c r="B24" s="7">
        <f>IFERROR(VLOOKUP(D24,PREÇOS!$B$2:$C$32,2,FALSE),0)</f>
        <v>3.8</v>
      </c>
      <c r="C24" s="7">
        <f>$A$24*$B$24</f>
        <v>30.4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40</v>
      </c>
      <c r="B26" s="7">
        <f>IFERROR(VLOOKUP(D26,PREÇOS!$B$2:$C$32,2,FALSE),0)</f>
        <v>0.6</v>
      </c>
      <c r="C26" s="7">
        <f>$A$26*$B$26</f>
        <v>24</v>
      </c>
      <c r="D26" s="2" t="s">
        <v>35</v>
      </c>
    </row>
    <row r="27" spans="1:4" ht="15.5" x14ac:dyDescent="0.35">
      <c r="A27" s="6">
        <f>$C$6*0.2</f>
        <v>40</v>
      </c>
      <c r="B27" s="7">
        <f>IFERROR(VLOOKUP(D27,PREÇOS!$B$2:$C$32,2,FALSE),0)</f>
        <v>0.5</v>
      </c>
      <c r="C27" s="7">
        <f>$A$27*$B$27</f>
        <v>20</v>
      </c>
      <c r="D27" s="2" t="s">
        <v>12</v>
      </c>
    </row>
    <row r="28" spans="1:4" ht="15.5" x14ac:dyDescent="0.35">
      <c r="A28" s="6">
        <f>$C$6*0.1</f>
        <v>20</v>
      </c>
      <c r="B28" s="7">
        <f>IFERROR(VLOOKUP(D28,PREÇOS!$B$2:$C$32,2,FALSE),0)</f>
        <v>0.75</v>
      </c>
      <c r="C28" s="7">
        <f>$A$28*$B$28</f>
        <v>15</v>
      </c>
      <c r="D28" s="2" t="s">
        <v>11</v>
      </c>
    </row>
    <row r="29" spans="1:4" ht="15.5" x14ac:dyDescent="0.35">
      <c r="A29" s="6">
        <f>$C$6*0.1</f>
        <v>20</v>
      </c>
      <c r="B29" s="7">
        <f>IFERROR(VLOOKUP(D29,PREÇOS!$B$2:$C$32,2,FALSE),0)</f>
        <v>0.6</v>
      </c>
      <c r="C29" s="7">
        <f>$A$29*$B$29</f>
        <v>12</v>
      </c>
      <c r="D29" s="2" t="s">
        <v>37</v>
      </c>
    </row>
    <row r="30" spans="1:4" ht="15.5" x14ac:dyDescent="0.35">
      <c r="A30" s="6">
        <f>$C$6*0.2</f>
        <v>40</v>
      </c>
      <c r="B30" s="7">
        <f>IFERROR(VLOOKUP(D30,PREÇOS!$B$2:$C$32,2,FALSE),0)</f>
        <v>0.8</v>
      </c>
      <c r="C30" s="7">
        <f>$A$30*$B$30</f>
        <v>32</v>
      </c>
      <c r="D30" s="2" t="s">
        <v>31</v>
      </c>
    </row>
    <row r="31" spans="1:4" ht="15.5" x14ac:dyDescent="0.35">
      <c r="A31" s="6">
        <f>$C$6*0.2</f>
        <v>40</v>
      </c>
      <c r="B31" s="7">
        <f>IFERROR(VLOOKUP(D31,PREÇOS!$B$2:$C$32,2,FALSE),0)</f>
        <v>0.8</v>
      </c>
      <c r="C31" s="7">
        <f>$A$31*$B$31</f>
        <v>32</v>
      </c>
      <c r="D31" s="2" t="s">
        <v>30</v>
      </c>
    </row>
    <row r="32" spans="1:4" ht="15.5" x14ac:dyDescent="0.35">
      <c r="A32" s="6">
        <f>$C$6*0.2</f>
        <v>40</v>
      </c>
      <c r="B32" s="7">
        <f>IFERROR(VLOOKUP(D32,PREÇOS!$B$2:$C$32,2,FALSE),0)</f>
        <v>0.85</v>
      </c>
      <c r="C32" s="7">
        <f>$A$32*$B$32</f>
        <v>34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140</v>
      </c>
      <c r="B34" s="42">
        <f>IFERROR(VLOOKUP(D34,PREÇOS!$B$2:$C$32,2,FALSE),0)</f>
        <v>1.6</v>
      </c>
      <c r="C34" s="42">
        <f>$A$34*$B$34</f>
        <v>224</v>
      </c>
      <c r="D34" s="43" t="s">
        <v>24</v>
      </c>
    </row>
    <row r="35" spans="1:4" ht="15.5" x14ac:dyDescent="0.35">
      <c r="A35" s="6">
        <f>$C$6*0.5</f>
        <v>100</v>
      </c>
      <c r="B35" s="7">
        <f>IFERROR(VLOOKUP(D35,PREÇOS!$B$2:$C$32,2,FALSE),0)</f>
        <v>1.8</v>
      </c>
      <c r="C35" s="7">
        <f>$A$35*$B$35</f>
        <v>180</v>
      </c>
      <c r="D35" s="2" t="s">
        <v>23</v>
      </c>
    </row>
    <row r="36" spans="1:4" ht="15.5" x14ac:dyDescent="0.35">
      <c r="A36" s="6">
        <f>$C$6*0.5</f>
        <v>100</v>
      </c>
      <c r="B36" s="3">
        <f>IFERROR(VLOOKUP(D36,PREÇOS!$B$2:$C$32,2,FALSE),0)</f>
        <v>0.95</v>
      </c>
      <c r="C36" s="7">
        <f>$A$36*$B$36</f>
        <v>95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994.14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200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140</v>
      </c>
      <c r="B43" s="7">
        <f>IFERROR(VLOOKUP(D43,PREÇOS!$B$2:$C$32,2,FALSE),0)</f>
        <v>0.63</v>
      </c>
      <c r="C43" s="7">
        <f>$A$43*$B$43</f>
        <v>88.2</v>
      </c>
      <c r="D43" s="2" t="s">
        <v>28</v>
      </c>
    </row>
    <row r="44" spans="1:4" ht="15.5" x14ac:dyDescent="0.35">
      <c r="A44" s="6">
        <f>$C$41*0.3</f>
        <v>60</v>
      </c>
      <c r="B44" s="7">
        <f>IFERROR(VLOOKUP(D44,PREÇOS!$B$2:$C$32,2,FALSE),0)</f>
        <v>0.95</v>
      </c>
      <c r="C44" s="7">
        <f>$A$44*$B$44</f>
        <v>57</v>
      </c>
      <c r="D44" s="2" t="s">
        <v>29</v>
      </c>
    </row>
    <row r="45" spans="1:4" ht="15.5" x14ac:dyDescent="0.35">
      <c r="A45" s="6">
        <f>$C$41*0.6</f>
        <v>120</v>
      </c>
      <c r="B45" s="7">
        <f>IFERROR(VLOOKUP(D45,PREÇOS!$B$2:$C$32,2,FALSE),0)</f>
        <v>0.95</v>
      </c>
      <c r="C45" s="7">
        <f>$A$45*$B$45</f>
        <v>114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259.2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2CB0-428E-4C4B-A637-EED9E66B9B0E}">
  <dimension ref="A1:O58"/>
  <sheetViews>
    <sheetView workbookViewId="0">
      <selection activeCell="C41" sqref="C4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63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FCD8-3186-4A1D-B19D-4480C0CE3A21}">
  <dimension ref="A1:O58"/>
  <sheetViews>
    <sheetView workbookViewId="0">
      <selection activeCell="C42" sqref="C42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64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18B2-B9C9-49BE-B176-BDE7A0EDD01B}">
  <dimension ref="A1:O58"/>
  <sheetViews>
    <sheetView workbookViewId="0">
      <selection activeCell="C45" sqref="C45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65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BE0C-D521-44C2-8D48-0E7BB6DD8226}">
  <dimension ref="A1:O58"/>
  <sheetViews>
    <sheetView workbookViewId="0">
      <selection activeCell="C37" sqref="C37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66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7610-906D-4F94-B4A2-0D94EAB41F84}">
  <dimension ref="A1:O58"/>
  <sheetViews>
    <sheetView workbookViewId="0">
      <selection activeCell="C46" sqref="C46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67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1790-E88F-43B6-AF88-1042BCC91702}">
  <dimension ref="A1:O58"/>
  <sheetViews>
    <sheetView workbookViewId="0">
      <selection activeCell="D44" sqref="D44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68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B9CE-E13B-4EDE-A1CE-1984BCF643A4}">
  <dimension ref="A1:O58"/>
  <sheetViews>
    <sheetView workbookViewId="0">
      <selection activeCell="C44" sqref="C44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69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A023-1039-451C-BABD-F5B005F20E7D}">
  <dimension ref="A1:O58"/>
  <sheetViews>
    <sheetView workbookViewId="0">
      <selection activeCell="C43" sqref="C43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70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BFC6-9D00-4111-B836-7537FD940FC5}">
  <dimension ref="A1:O58"/>
  <sheetViews>
    <sheetView workbookViewId="0">
      <selection activeCell="C44" sqref="C44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71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4F11-CF6B-4905-A0BD-F9CACD2EF1C0}">
  <dimension ref="A1:O58"/>
  <sheetViews>
    <sheetView workbookViewId="0">
      <selection activeCell="C44" sqref="C44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72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5ACF-0CEE-4BFF-9D40-8F5AA47A7D5C}">
  <dimension ref="A1:O58"/>
  <sheetViews>
    <sheetView workbookViewId="0">
      <selection activeCell="C34" sqref="C34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73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 t="s">
        <v>100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4EB1-9A26-4092-B124-BDC644132EC9}">
  <dimension ref="A1:O58"/>
  <sheetViews>
    <sheetView workbookViewId="0">
      <selection activeCell="C45" sqref="C45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74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F5A7-EBFF-4D20-A5F1-D5DBC0FA657E}">
  <dimension ref="A1:O58"/>
  <sheetViews>
    <sheetView workbookViewId="0">
      <selection activeCell="C12" sqref="C12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75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7638-2F0C-410D-9E93-918EBF090DD6}">
  <dimension ref="A1:O58"/>
  <sheetViews>
    <sheetView workbookViewId="0">
      <selection activeCell="C16" sqref="C16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76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9AA-9E4E-44E5-AD84-C62228A81FDC}">
  <dimension ref="A1:O58"/>
  <sheetViews>
    <sheetView workbookViewId="0">
      <selection activeCell="D39" sqref="D39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77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4922-C7EA-44C4-A0A9-2B5B36AB0D33}">
  <dimension ref="A1:O58"/>
  <sheetViews>
    <sheetView workbookViewId="0">
      <selection activeCell="F41" sqref="F4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78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C631-C4FA-4F35-926B-9650BE2152A5}">
  <dimension ref="A1:O58"/>
  <sheetViews>
    <sheetView workbookViewId="0">
      <selection activeCell="G40" sqref="G40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79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892C-33C6-4EB4-9A04-716ED02B9B7E}">
  <dimension ref="A1:O58"/>
  <sheetViews>
    <sheetView workbookViewId="0">
      <selection activeCell="H39" sqref="H39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80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0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0</v>
      </c>
      <c r="B9" s="7">
        <f>IFERROR(VLOOKUP(D9,PREÇOS!$B$2:$C$32,2,FALSE),0)</f>
        <v>0.4</v>
      </c>
      <c r="C9" s="7">
        <f>$A$9*$B$9</f>
        <v>0</v>
      </c>
      <c r="D9" s="2" t="s">
        <v>4</v>
      </c>
    </row>
    <row r="10" spans="1:15" ht="15.5" x14ac:dyDescent="0.35">
      <c r="A10" s="6">
        <f>$C$6*0.2</f>
        <v>0</v>
      </c>
      <c r="B10" s="7">
        <f>IFERROR(VLOOKUP(D10,PREÇOS!$B$2:$C$32,2,FALSE),0)</f>
        <v>0.6</v>
      </c>
      <c r="C10" s="7">
        <f>$A$10*$B$10</f>
        <v>0</v>
      </c>
      <c r="D10" s="2" t="s">
        <v>9</v>
      </c>
    </row>
    <row r="11" spans="1:15" ht="15.5" x14ac:dyDescent="0.35">
      <c r="A11" s="6">
        <f>$C$6*0.2</f>
        <v>0</v>
      </c>
      <c r="B11" s="7">
        <f>IFERROR(VLOOKUP(D11,PREÇOS!$B$2:$C$32,2,FALSE),0)</f>
        <v>0.8</v>
      </c>
      <c r="C11" s="7">
        <f>$A$11*$B$11</f>
        <v>0</v>
      </c>
      <c r="D11" s="2" t="s">
        <v>5</v>
      </c>
      <c r="F11" s="3"/>
    </row>
    <row r="12" spans="1:15" ht="15.5" x14ac:dyDescent="0.35">
      <c r="A12" s="6">
        <f>$C$6*0.2</f>
        <v>0</v>
      </c>
      <c r="B12" s="7">
        <f>IFERROR(VLOOKUP(D12,PREÇOS!$B$2:$C$32,2,FALSE),0)</f>
        <v>0.45</v>
      </c>
      <c r="C12" s="7">
        <f>$A$12*$B$12</f>
        <v>0</v>
      </c>
      <c r="D12" s="2" t="s">
        <v>10</v>
      </c>
      <c r="E12" s="14"/>
      <c r="M12" s="15"/>
    </row>
    <row r="13" spans="1:15" ht="15.5" x14ac:dyDescent="0.35">
      <c r="A13" s="6">
        <f>$C$6*0.2</f>
        <v>0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0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0</v>
      </c>
      <c r="B15" s="7">
        <f>IFERROR(VLOOKUP(D15,PREÇOS!$B$2:$C$32,2,FALSE),0)</f>
        <v>0.8</v>
      </c>
      <c r="C15" s="7">
        <f>$A$15*$B$15</f>
        <v>0</v>
      </c>
      <c r="D15" s="2" t="s">
        <v>33</v>
      </c>
    </row>
    <row r="16" spans="1:15" ht="15.5" x14ac:dyDescent="0.35">
      <c r="A16" s="6">
        <f>$C$6*0.2</f>
        <v>0</v>
      </c>
      <c r="B16" s="7">
        <f>IFERROR(VLOOKUP(D16,PREÇOS!$B$2:$C$32,2,FALSE),0)</f>
        <v>0.7</v>
      </c>
      <c r="C16" s="7">
        <f>$A$16*$B$16</f>
        <v>0</v>
      </c>
      <c r="D16" s="2" t="s">
        <v>36</v>
      </c>
    </row>
    <row r="17" spans="1:4" ht="15.5" x14ac:dyDescent="0.35">
      <c r="A17" s="6">
        <f>$C$6*0.01</f>
        <v>0</v>
      </c>
      <c r="B17" s="7">
        <f>IFERROR(VLOOKUP(D17,PREÇOS!$B$2:$C$32,2,FALSE),0)</f>
        <v>1.55</v>
      </c>
      <c r="C17" s="7">
        <f>$A$17*$B$17</f>
        <v>0</v>
      </c>
      <c r="D17" s="2" t="s">
        <v>38</v>
      </c>
    </row>
    <row r="18" spans="1:4" ht="15.5" x14ac:dyDescent="0.35">
      <c r="A18" s="6">
        <f>$C$6*0.3</f>
        <v>0</v>
      </c>
      <c r="B18" s="7">
        <f>IFERROR(VLOOKUP(D18,PREÇOS!$B$2:$C$32,2,FALSE),0)</f>
        <v>0.4</v>
      </c>
      <c r="C18" s="7">
        <f>$A$18*$B$18</f>
        <v>0</v>
      </c>
      <c r="D18" s="2" t="s">
        <v>40</v>
      </c>
    </row>
    <row r="19" spans="1:4" ht="15.5" x14ac:dyDescent="0.35">
      <c r="A19" s="6">
        <f>$C$6*0.2</f>
        <v>0</v>
      </c>
      <c r="B19" s="7">
        <f>IFERROR(VLOOKUP(D19,PREÇOS!$B$2:$C$32,2,FALSE),0)</f>
        <v>0.8</v>
      </c>
      <c r="C19" s="7">
        <f>$A$19*$B$19</f>
        <v>0</v>
      </c>
      <c r="D19" s="2" t="s">
        <v>34</v>
      </c>
    </row>
    <row r="20" spans="1:4" ht="15.5" x14ac:dyDescent="0.35">
      <c r="A20" s="6">
        <f>$C$6*0.004</f>
        <v>0</v>
      </c>
      <c r="B20" s="7">
        <f>IFERROR(VLOOKUP(D20,PREÇOS!$B$2:$C$32,2,FALSE),0)</f>
        <v>3</v>
      </c>
      <c r="C20" s="7">
        <f>$A$20*$B$20</f>
        <v>0</v>
      </c>
      <c r="D20" s="2" t="s">
        <v>41</v>
      </c>
    </row>
    <row r="21" spans="1:4" ht="15.5" x14ac:dyDescent="0.35">
      <c r="A21" s="6">
        <f>$C$6*0.009</f>
        <v>0</v>
      </c>
      <c r="B21" s="7">
        <f>IFERROR(VLOOKUP(D21,PREÇOS!$B$2:$C$32,2,FALSE),0)</f>
        <v>2.8</v>
      </c>
      <c r="C21" s="7">
        <f>$A$21*$B$21</f>
        <v>0</v>
      </c>
      <c r="D21" s="2" t="s">
        <v>42</v>
      </c>
    </row>
    <row r="22" spans="1:4" ht="15.5" x14ac:dyDescent="0.35">
      <c r="A22" s="6">
        <f>$C$6*0.004</f>
        <v>0</v>
      </c>
      <c r="B22" s="7">
        <f>IFERROR(VLOOKUP(D22,PREÇOS!$B$2:$C$32,2,FALSE),0)</f>
        <v>3</v>
      </c>
      <c r="C22" s="7">
        <f>$A$22*$B$22</f>
        <v>0</v>
      </c>
      <c r="D22" s="2" t="s">
        <v>43</v>
      </c>
    </row>
    <row r="23" spans="1:4" ht="15.5" x14ac:dyDescent="0.35">
      <c r="A23" s="6">
        <f>$C$6*0.04</f>
        <v>0</v>
      </c>
      <c r="B23" s="7">
        <f>IFERROR(VLOOKUP(D23,PREÇOS!$B$2:$C$32,2,FALSE),0)</f>
        <v>2.6</v>
      </c>
      <c r="C23" s="7">
        <f>$A$23*$B$23</f>
        <v>0</v>
      </c>
      <c r="D23" s="2" t="s">
        <v>17</v>
      </c>
    </row>
    <row r="24" spans="1:4" ht="15.5" x14ac:dyDescent="0.35">
      <c r="A24" s="6">
        <f>$C$6*0.04</f>
        <v>0</v>
      </c>
      <c r="B24" s="7">
        <f>IFERROR(VLOOKUP(D24,PREÇOS!$B$2:$C$32,2,FALSE),0)</f>
        <v>3.8</v>
      </c>
      <c r="C24" s="7">
        <f>$A$24*$B$24</f>
        <v>0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0</v>
      </c>
      <c r="B26" s="7">
        <f>IFERROR(VLOOKUP(D26,PREÇOS!$B$2:$C$32,2,FALSE),0)</f>
        <v>0.6</v>
      </c>
      <c r="C26" s="7">
        <f>$A$26*$B$26</f>
        <v>0</v>
      </c>
      <c r="D26" s="2" t="s">
        <v>35</v>
      </c>
    </row>
    <row r="27" spans="1:4" ht="15.5" x14ac:dyDescent="0.35">
      <c r="A27" s="6">
        <f>$C$6*0.2</f>
        <v>0</v>
      </c>
      <c r="B27" s="7">
        <f>IFERROR(VLOOKUP(D27,PREÇOS!$B$2:$C$32,2,FALSE),0)</f>
        <v>0.5</v>
      </c>
      <c r="C27" s="7">
        <f>$A$27*$B$27</f>
        <v>0</v>
      </c>
      <c r="D27" s="2" t="s">
        <v>12</v>
      </c>
    </row>
    <row r="28" spans="1:4" ht="15.5" x14ac:dyDescent="0.35">
      <c r="A28" s="6">
        <f>$C$6*0.1</f>
        <v>0</v>
      </c>
      <c r="B28" s="7">
        <f>IFERROR(VLOOKUP(D28,PREÇOS!$B$2:$C$32,2,FALSE),0)</f>
        <v>0.75</v>
      </c>
      <c r="C28" s="7">
        <f>$A$28*$B$28</f>
        <v>0</v>
      </c>
      <c r="D28" s="2" t="s">
        <v>11</v>
      </c>
    </row>
    <row r="29" spans="1:4" ht="15.5" x14ac:dyDescent="0.35">
      <c r="A29" s="6">
        <f>$C$6*0.1</f>
        <v>0</v>
      </c>
      <c r="B29" s="7">
        <f>IFERROR(VLOOKUP(D29,PREÇOS!$B$2:$C$32,2,FALSE),0)</f>
        <v>0.6</v>
      </c>
      <c r="C29" s="7">
        <f>$A$29*$B$29</f>
        <v>0</v>
      </c>
      <c r="D29" s="2" t="s">
        <v>37</v>
      </c>
    </row>
    <row r="30" spans="1:4" ht="15.5" x14ac:dyDescent="0.35">
      <c r="A30" s="6">
        <f>$C$6*0.2</f>
        <v>0</v>
      </c>
      <c r="B30" s="7">
        <f>IFERROR(VLOOKUP(D30,PREÇOS!$B$2:$C$32,2,FALSE),0)</f>
        <v>0.8</v>
      </c>
      <c r="C30" s="7">
        <f>$A$30*$B$30</f>
        <v>0</v>
      </c>
      <c r="D30" s="2" t="s">
        <v>31</v>
      </c>
    </row>
    <row r="31" spans="1:4" ht="15.5" x14ac:dyDescent="0.35">
      <c r="A31" s="6">
        <f>$C$6*0.2</f>
        <v>0</v>
      </c>
      <c r="B31" s="7">
        <f>IFERROR(VLOOKUP(D31,PREÇOS!$B$2:$C$32,2,FALSE),0)</f>
        <v>0.8</v>
      </c>
      <c r="C31" s="7">
        <f>$A$31*$B$31</f>
        <v>0</v>
      </c>
      <c r="D31" s="2" t="s">
        <v>30</v>
      </c>
    </row>
    <row r="32" spans="1:4" ht="15.5" x14ac:dyDescent="0.35">
      <c r="A32" s="6">
        <f>$C$6*0.2</f>
        <v>0</v>
      </c>
      <c r="B32" s="7">
        <f>IFERROR(VLOOKUP(D32,PREÇOS!$B$2:$C$32,2,FALSE),0)</f>
        <v>0.85</v>
      </c>
      <c r="C32" s="7">
        <f>$A$32*$B$32</f>
        <v>0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0</v>
      </c>
      <c r="B34" s="42">
        <f>IFERROR(VLOOKUP(D34,PREÇOS!$B$2:$C$32,2,FALSE),0)</f>
        <v>1.6</v>
      </c>
      <c r="C34" s="42">
        <f>$A$34*$B$34</f>
        <v>0</v>
      </c>
      <c r="D34" s="43" t="s">
        <v>24</v>
      </c>
    </row>
    <row r="35" spans="1:4" ht="15.5" x14ac:dyDescent="0.35">
      <c r="A35" s="6">
        <f>$C$6*0.5</f>
        <v>0</v>
      </c>
      <c r="B35" s="7">
        <f>IFERROR(VLOOKUP(D35,PREÇOS!$B$2:$C$32,2,FALSE),0)</f>
        <v>1.8</v>
      </c>
      <c r="C35" s="7">
        <f>$A$35*$B$35</f>
        <v>0</v>
      </c>
      <c r="D35" s="2" t="s">
        <v>23</v>
      </c>
    </row>
    <row r="36" spans="1:4" ht="15.5" x14ac:dyDescent="0.35">
      <c r="A36" s="6">
        <f>$C$6*0.5</f>
        <v>0</v>
      </c>
      <c r="B36" s="3">
        <f>IFERROR(VLOOKUP(D36,PREÇOS!$B$2:$C$32,2,FALSE),0)</f>
        <v>0.95</v>
      </c>
      <c r="C36" s="7">
        <f>$A$36*$B$36</f>
        <v>0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0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0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0</v>
      </c>
      <c r="B43" s="7">
        <f>IFERROR(VLOOKUP(D43,PREÇOS!$B$2:$C$32,2,FALSE),0)</f>
        <v>0.63</v>
      </c>
      <c r="C43" s="7">
        <f>$A$43*$B$43</f>
        <v>0</v>
      </c>
      <c r="D43" s="2" t="s">
        <v>28</v>
      </c>
    </row>
    <row r="44" spans="1:4" ht="15.5" x14ac:dyDescent="0.35">
      <c r="A44" s="6">
        <f>$C$41*0.3</f>
        <v>0</v>
      </c>
      <c r="B44" s="7">
        <f>IFERROR(VLOOKUP(D44,PREÇOS!$B$2:$C$32,2,FALSE),0)</f>
        <v>0.95</v>
      </c>
      <c r="C44" s="7">
        <f>$A$44*$B$44</f>
        <v>0</v>
      </c>
      <c r="D44" s="2" t="s">
        <v>29</v>
      </c>
    </row>
    <row r="45" spans="1:4" ht="15.5" x14ac:dyDescent="0.35">
      <c r="A45" s="6">
        <f>$C$41*0.6</f>
        <v>0</v>
      </c>
      <c r="B45" s="7">
        <f>IFERROR(VLOOKUP(D45,PREÇOS!$B$2:$C$32,2,FALSE),0)</f>
        <v>0.95</v>
      </c>
      <c r="C45" s="7">
        <f>$A$45*$B$45</f>
        <v>0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0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ACB-E2F3-4195-8278-BC099447E55C}">
  <dimension ref="A1:O58"/>
  <sheetViews>
    <sheetView workbookViewId="0">
      <selection activeCell="F28" sqref="F28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81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169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152.1</v>
      </c>
      <c r="B9" s="7">
        <f>IFERROR(VLOOKUP(D9,PREÇOS!$B$2:$C$32,2,FALSE),0)</f>
        <v>0.4</v>
      </c>
      <c r="C9" s="7">
        <f>$A$9*$B$9</f>
        <v>60.84</v>
      </c>
      <c r="D9" s="2" t="s">
        <v>4</v>
      </c>
    </row>
    <row r="10" spans="1:15" ht="15.5" x14ac:dyDescent="0.35">
      <c r="A10" s="6">
        <f>$C$6*0.2</f>
        <v>33.800000000000004</v>
      </c>
      <c r="B10" s="7">
        <f>IFERROR(VLOOKUP(D10,PREÇOS!$B$2:$C$32,2,FALSE),0)</f>
        <v>0.6</v>
      </c>
      <c r="C10" s="7">
        <f>$A$10*$B$10</f>
        <v>20.28</v>
      </c>
      <c r="D10" s="2" t="s">
        <v>9</v>
      </c>
    </row>
    <row r="11" spans="1:15" ht="15.5" x14ac:dyDescent="0.35">
      <c r="A11" s="6">
        <f>$C$6*0.2</f>
        <v>33.800000000000004</v>
      </c>
      <c r="B11" s="7">
        <f>IFERROR(VLOOKUP(D11,PREÇOS!$B$2:$C$32,2,FALSE),0)</f>
        <v>0.8</v>
      </c>
      <c r="C11" s="7">
        <f>$A$11*$B$11</f>
        <v>27.040000000000006</v>
      </c>
      <c r="D11" s="2" t="s">
        <v>5</v>
      </c>
      <c r="F11" s="3"/>
    </row>
    <row r="12" spans="1:15" ht="15.5" x14ac:dyDescent="0.35">
      <c r="A12" s="6">
        <f>$C$6*0.2</f>
        <v>33.800000000000004</v>
      </c>
      <c r="B12" s="7">
        <f>IFERROR(VLOOKUP(D12,PREÇOS!$B$2:$C$32,2,FALSE),0)</f>
        <v>0.45</v>
      </c>
      <c r="C12" s="7">
        <f>$A$12*$B$12</f>
        <v>15.210000000000003</v>
      </c>
      <c r="D12" s="2" t="s">
        <v>10</v>
      </c>
      <c r="E12" s="14"/>
      <c r="M12" s="15"/>
    </row>
    <row r="13" spans="1:15" ht="15.5" x14ac:dyDescent="0.35">
      <c r="A13" s="6">
        <f>$C$6*0.2</f>
        <v>33.800000000000004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16.900000000000002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33.800000000000004</v>
      </c>
      <c r="B15" s="7">
        <f>IFERROR(VLOOKUP(D15,PREÇOS!$B$2:$C$32,2,FALSE),0)</f>
        <v>0.8</v>
      </c>
      <c r="C15" s="7">
        <f>$A$15*$B$15</f>
        <v>27.040000000000006</v>
      </c>
      <c r="D15" s="2" t="s">
        <v>33</v>
      </c>
    </row>
    <row r="16" spans="1:15" ht="15.5" x14ac:dyDescent="0.35">
      <c r="A16" s="6">
        <f>$C$6*0.2</f>
        <v>33.800000000000004</v>
      </c>
      <c r="B16" s="7">
        <f>IFERROR(VLOOKUP(D16,PREÇOS!$B$2:$C$32,2,FALSE),0)</f>
        <v>0.7</v>
      </c>
      <c r="C16" s="7">
        <f>$A$16*$B$16</f>
        <v>23.66</v>
      </c>
      <c r="D16" s="2" t="s">
        <v>36</v>
      </c>
    </row>
    <row r="17" spans="1:4" ht="15.5" x14ac:dyDescent="0.35">
      <c r="A17" s="6">
        <f>$C$6*0.01</f>
        <v>1.69</v>
      </c>
      <c r="B17" s="7">
        <f>IFERROR(VLOOKUP(D17,PREÇOS!$B$2:$C$32,2,FALSE),0)</f>
        <v>1.55</v>
      </c>
      <c r="C17" s="7">
        <f>$A$17*$B$17</f>
        <v>2.6194999999999999</v>
      </c>
      <c r="D17" s="2" t="s">
        <v>38</v>
      </c>
    </row>
    <row r="18" spans="1:4" ht="15.5" x14ac:dyDescent="0.35">
      <c r="A18" s="6">
        <f>$C$6*0.3</f>
        <v>50.699999999999996</v>
      </c>
      <c r="B18" s="7">
        <f>IFERROR(VLOOKUP(D18,PREÇOS!$B$2:$C$32,2,FALSE),0)</f>
        <v>0.4</v>
      </c>
      <c r="C18" s="7">
        <f>$A$18*$B$18</f>
        <v>20.28</v>
      </c>
      <c r="D18" s="2" t="s">
        <v>40</v>
      </c>
    </row>
    <row r="19" spans="1:4" ht="15.5" x14ac:dyDescent="0.35">
      <c r="A19" s="6">
        <f>$C$6*0.2</f>
        <v>33.800000000000004</v>
      </c>
      <c r="B19" s="7">
        <f>IFERROR(VLOOKUP(D19,PREÇOS!$B$2:$C$32,2,FALSE),0)</f>
        <v>0.8</v>
      </c>
      <c r="C19" s="7">
        <f>$A$19*$B$19</f>
        <v>27.040000000000006</v>
      </c>
      <c r="D19" s="2" t="s">
        <v>34</v>
      </c>
    </row>
    <row r="20" spans="1:4" ht="15.5" x14ac:dyDescent="0.35">
      <c r="A20" s="6">
        <f>$C$6*0.004</f>
        <v>0.67600000000000005</v>
      </c>
      <c r="B20" s="7">
        <f>IFERROR(VLOOKUP(D20,PREÇOS!$B$2:$C$32,2,FALSE),0)</f>
        <v>3</v>
      </c>
      <c r="C20" s="7">
        <f>$A$20*$B$20</f>
        <v>2.028</v>
      </c>
      <c r="D20" s="2" t="s">
        <v>41</v>
      </c>
    </row>
    <row r="21" spans="1:4" ht="15.5" x14ac:dyDescent="0.35">
      <c r="A21" s="6">
        <f>$C$6*0.009</f>
        <v>1.5209999999999999</v>
      </c>
      <c r="B21" s="7">
        <f>IFERROR(VLOOKUP(D21,PREÇOS!$B$2:$C$32,2,FALSE),0)</f>
        <v>2.8</v>
      </c>
      <c r="C21" s="7">
        <f>$A$21*$B$21</f>
        <v>4.258799999999999</v>
      </c>
      <c r="D21" s="2" t="s">
        <v>42</v>
      </c>
    </row>
    <row r="22" spans="1:4" ht="15.5" x14ac:dyDescent="0.35">
      <c r="A22" s="6">
        <f>$C$6*0.004</f>
        <v>0.67600000000000005</v>
      </c>
      <c r="B22" s="7">
        <f>IFERROR(VLOOKUP(D22,PREÇOS!$B$2:$C$32,2,FALSE),0)</f>
        <v>3</v>
      </c>
      <c r="C22" s="7">
        <f>$A$22*$B$22</f>
        <v>2.028</v>
      </c>
      <c r="D22" s="2" t="s">
        <v>43</v>
      </c>
    </row>
    <row r="23" spans="1:4" ht="15.5" x14ac:dyDescent="0.35">
      <c r="A23" s="6">
        <f>$C$6*0.04</f>
        <v>6.76</v>
      </c>
      <c r="B23" s="7">
        <f>IFERROR(VLOOKUP(D23,PREÇOS!$B$2:$C$32,2,FALSE),0)</f>
        <v>2.6</v>
      </c>
      <c r="C23" s="7">
        <f>$A$23*$B$23</f>
        <v>17.576000000000001</v>
      </c>
      <c r="D23" s="2" t="s">
        <v>17</v>
      </c>
    </row>
    <row r="24" spans="1:4" ht="15.5" x14ac:dyDescent="0.35">
      <c r="A24" s="6">
        <f>$C$6*0.04</f>
        <v>6.76</v>
      </c>
      <c r="B24" s="7">
        <f>IFERROR(VLOOKUP(D24,PREÇOS!$B$2:$C$32,2,FALSE),0)</f>
        <v>3.8</v>
      </c>
      <c r="C24" s="7">
        <f>$A$24*$B$24</f>
        <v>25.687999999999999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33.800000000000004</v>
      </c>
      <c r="B26" s="7">
        <f>IFERROR(VLOOKUP(D26,PREÇOS!$B$2:$C$32,2,FALSE),0)</f>
        <v>0.6</v>
      </c>
      <c r="C26" s="7">
        <f>$A$26*$B$26</f>
        <v>20.28</v>
      </c>
      <c r="D26" s="2" t="s">
        <v>35</v>
      </c>
    </row>
    <row r="27" spans="1:4" ht="15.5" x14ac:dyDescent="0.35">
      <c r="A27" s="6">
        <f>$C$6*0.2</f>
        <v>33.800000000000004</v>
      </c>
      <c r="B27" s="7">
        <f>IFERROR(VLOOKUP(D27,PREÇOS!$B$2:$C$32,2,FALSE),0)</f>
        <v>0.5</v>
      </c>
      <c r="C27" s="7">
        <f>$A$27*$B$27</f>
        <v>16.900000000000002</v>
      </c>
      <c r="D27" s="2" t="s">
        <v>12</v>
      </c>
    </row>
    <row r="28" spans="1:4" ht="15.5" x14ac:dyDescent="0.35">
      <c r="A28" s="6">
        <f>$C$6*0.1</f>
        <v>16.900000000000002</v>
      </c>
      <c r="B28" s="7">
        <f>IFERROR(VLOOKUP(D28,PREÇOS!$B$2:$C$32,2,FALSE),0)</f>
        <v>0.75</v>
      </c>
      <c r="C28" s="7">
        <f>$A$28*$B$28</f>
        <v>12.675000000000001</v>
      </c>
      <c r="D28" s="2" t="s">
        <v>11</v>
      </c>
    </row>
    <row r="29" spans="1:4" ht="15.5" x14ac:dyDescent="0.35">
      <c r="A29" s="6">
        <f>$C$6*0.1</f>
        <v>16.900000000000002</v>
      </c>
      <c r="B29" s="7">
        <f>IFERROR(VLOOKUP(D29,PREÇOS!$B$2:$C$32,2,FALSE),0)</f>
        <v>0.6</v>
      </c>
      <c r="C29" s="7">
        <f>$A$29*$B$29</f>
        <v>10.14</v>
      </c>
      <c r="D29" s="2" t="s">
        <v>37</v>
      </c>
    </row>
    <row r="30" spans="1:4" ht="15.5" x14ac:dyDescent="0.35">
      <c r="A30" s="6">
        <f>$C$6*0.2</f>
        <v>33.800000000000004</v>
      </c>
      <c r="B30" s="7">
        <f>IFERROR(VLOOKUP(D30,PREÇOS!$B$2:$C$32,2,FALSE),0)</f>
        <v>0.8</v>
      </c>
      <c r="C30" s="7">
        <f>$A$30*$B$30</f>
        <v>27.040000000000006</v>
      </c>
      <c r="D30" s="2" t="s">
        <v>31</v>
      </c>
    </row>
    <row r="31" spans="1:4" ht="15.5" x14ac:dyDescent="0.35">
      <c r="A31" s="6">
        <f>$C$6*0.2</f>
        <v>33.800000000000004</v>
      </c>
      <c r="B31" s="7">
        <f>IFERROR(VLOOKUP(D31,PREÇOS!$B$2:$C$32,2,FALSE),0)</f>
        <v>0.8</v>
      </c>
      <c r="C31" s="7">
        <f>$A$31*$B$31</f>
        <v>27.040000000000006</v>
      </c>
      <c r="D31" s="2" t="s">
        <v>30</v>
      </c>
    </row>
    <row r="32" spans="1:4" ht="15.5" x14ac:dyDescent="0.35">
      <c r="A32" s="6">
        <f>$C$6*0.2</f>
        <v>33.800000000000004</v>
      </c>
      <c r="B32" s="7">
        <f>IFERROR(VLOOKUP(D32,PREÇOS!$B$2:$C$32,2,FALSE),0)</f>
        <v>0.85</v>
      </c>
      <c r="C32" s="7">
        <f>$A$32*$B$32</f>
        <v>28.730000000000004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118.3</v>
      </c>
      <c r="B34" s="42">
        <f>IFERROR(VLOOKUP(D34,PREÇOS!$B$2:$C$32,2,FALSE),0)</f>
        <v>1.6</v>
      </c>
      <c r="C34" s="42">
        <f>$A$34*$B$34</f>
        <v>189.28</v>
      </c>
      <c r="D34" s="43" t="s">
        <v>24</v>
      </c>
    </row>
    <row r="35" spans="1:4" ht="15.5" x14ac:dyDescent="0.35">
      <c r="A35" s="6">
        <f>$C$6*0.5</f>
        <v>84.5</v>
      </c>
      <c r="B35" s="7">
        <f>IFERROR(VLOOKUP(D35,PREÇOS!$B$2:$C$32,2,FALSE),0)</f>
        <v>1.8</v>
      </c>
      <c r="C35" s="7">
        <f>$A$35*$B$35</f>
        <v>152.1</v>
      </c>
      <c r="D35" s="2" t="s">
        <v>23</v>
      </c>
    </row>
    <row r="36" spans="1:4" ht="15.5" x14ac:dyDescent="0.35">
      <c r="A36" s="6">
        <f>$C$6*0.5</f>
        <v>84.5</v>
      </c>
      <c r="B36" s="3">
        <f>IFERROR(VLOOKUP(D36,PREÇOS!$B$2:$C$32,2,FALSE),0)</f>
        <v>0.95</v>
      </c>
      <c r="C36" s="7">
        <f>$A$36*$B$36</f>
        <v>80.274999999999991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840.04830000000004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168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117.6</v>
      </c>
      <c r="B43" s="7">
        <f>IFERROR(VLOOKUP(D43,PREÇOS!$B$2:$C$32,2,FALSE),0)</f>
        <v>0.63</v>
      </c>
      <c r="C43" s="7">
        <f>$A$43*$B$43</f>
        <v>74.087999999999994</v>
      </c>
      <c r="D43" s="2" t="s">
        <v>28</v>
      </c>
    </row>
    <row r="44" spans="1:4" ht="15.5" x14ac:dyDescent="0.35">
      <c r="A44" s="6">
        <f>$C$41*0.3</f>
        <v>50.4</v>
      </c>
      <c r="B44" s="7">
        <f>IFERROR(VLOOKUP(D44,PREÇOS!$B$2:$C$32,2,FALSE),0)</f>
        <v>0.95</v>
      </c>
      <c r="C44" s="7">
        <f>$A$44*$B$44</f>
        <v>47.879999999999995</v>
      </c>
      <c r="D44" s="2" t="s">
        <v>29</v>
      </c>
    </row>
    <row r="45" spans="1:4" ht="15.5" x14ac:dyDescent="0.35">
      <c r="A45" s="6">
        <f>$C$41*0.6</f>
        <v>100.8</v>
      </c>
      <c r="B45" s="7">
        <f>IFERROR(VLOOKUP(D45,PREÇOS!$B$2:$C$32,2,FALSE),0)</f>
        <v>0.95</v>
      </c>
      <c r="C45" s="7">
        <f>$A$45*$B$45</f>
        <v>95.759999999999991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217.72799999999998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82C3-29EB-4144-A702-56540B047071}">
  <dimension ref="A1:O58"/>
  <sheetViews>
    <sheetView workbookViewId="0">
      <selection activeCell="F13" sqref="F13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82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182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163.80000000000001</v>
      </c>
      <c r="B9" s="7">
        <f>IFERROR(VLOOKUP(D9,PREÇOS!$B$2:$C$32,2,FALSE),0)</f>
        <v>0.4</v>
      </c>
      <c r="C9" s="7">
        <f>$A$9*$B$9</f>
        <v>65.52000000000001</v>
      </c>
      <c r="D9" s="2" t="s">
        <v>4</v>
      </c>
    </row>
    <row r="10" spans="1:15" ht="15.5" x14ac:dyDescent="0.35">
      <c r="A10" s="6">
        <f>$C$6*0.2</f>
        <v>36.4</v>
      </c>
      <c r="B10" s="7">
        <f>IFERROR(VLOOKUP(D10,PREÇOS!$B$2:$C$32,2,FALSE),0)</f>
        <v>0.6</v>
      </c>
      <c r="C10" s="7">
        <f>$A$10*$B$10</f>
        <v>21.84</v>
      </c>
      <c r="D10" s="2" t="s">
        <v>9</v>
      </c>
    </row>
    <row r="11" spans="1:15" ht="15.5" x14ac:dyDescent="0.35">
      <c r="A11" s="6">
        <f>$C$6*0.2</f>
        <v>36.4</v>
      </c>
      <c r="B11" s="7">
        <f>IFERROR(VLOOKUP(D11,PREÇOS!$B$2:$C$32,2,FALSE),0)</f>
        <v>0.8</v>
      </c>
      <c r="C11" s="7">
        <f>$A$11*$B$11</f>
        <v>29.12</v>
      </c>
      <c r="D11" s="2" t="s">
        <v>5</v>
      </c>
      <c r="F11" s="3"/>
    </row>
    <row r="12" spans="1:15" ht="15.5" x14ac:dyDescent="0.35">
      <c r="A12" s="6">
        <f>$C$6*0.2</f>
        <v>36.4</v>
      </c>
      <c r="B12" s="7">
        <f>IFERROR(VLOOKUP(D12,PREÇOS!$B$2:$C$32,2,FALSE),0)</f>
        <v>0.45</v>
      </c>
      <c r="C12" s="7">
        <f>$A$12*$B$12</f>
        <v>16.38</v>
      </c>
      <c r="D12" s="2" t="s">
        <v>10</v>
      </c>
      <c r="E12" s="14"/>
      <c r="M12" s="15"/>
    </row>
    <row r="13" spans="1:15" ht="15.5" x14ac:dyDescent="0.35">
      <c r="A13" s="6">
        <f>$C$6*0.2</f>
        <v>36.4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18.2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36.4</v>
      </c>
      <c r="B15" s="7">
        <f>IFERROR(VLOOKUP(D15,PREÇOS!$B$2:$C$32,2,FALSE),0)</f>
        <v>0.8</v>
      </c>
      <c r="C15" s="7">
        <f>$A$15*$B$15</f>
        <v>29.12</v>
      </c>
      <c r="D15" s="2" t="s">
        <v>33</v>
      </c>
    </row>
    <row r="16" spans="1:15" ht="15.5" x14ac:dyDescent="0.35">
      <c r="A16" s="6">
        <f>$C$6*0.2</f>
        <v>36.4</v>
      </c>
      <c r="B16" s="7">
        <f>IFERROR(VLOOKUP(D16,PREÇOS!$B$2:$C$32,2,FALSE),0)</f>
        <v>0.7</v>
      </c>
      <c r="C16" s="7">
        <f>$A$16*$B$16</f>
        <v>25.479999999999997</v>
      </c>
      <c r="D16" s="2" t="s">
        <v>36</v>
      </c>
    </row>
    <row r="17" spans="1:4" ht="15.5" x14ac:dyDescent="0.35">
      <c r="A17" s="6">
        <f>$C$6*0.01</f>
        <v>1.82</v>
      </c>
      <c r="B17" s="7">
        <f>IFERROR(VLOOKUP(D17,PREÇOS!$B$2:$C$32,2,FALSE),0)</f>
        <v>1.55</v>
      </c>
      <c r="C17" s="7">
        <f>$A$17*$B$17</f>
        <v>2.8210000000000002</v>
      </c>
      <c r="D17" s="2" t="s">
        <v>38</v>
      </c>
    </row>
    <row r="18" spans="1:4" ht="15.5" x14ac:dyDescent="0.35">
      <c r="A18" s="6">
        <f>$C$6*0.3</f>
        <v>54.6</v>
      </c>
      <c r="B18" s="7">
        <f>IFERROR(VLOOKUP(D18,PREÇOS!$B$2:$C$32,2,FALSE),0)</f>
        <v>0.4</v>
      </c>
      <c r="C18" s="7">
        <f>$A$18*$B$18</f>
        <v>21.840000000000003</v>
      </c>
      <c r="D18" s="2" t="s">
        <v>40</v>
      </c>
    </row>
    <row r="19" spans="1:4" ht="15.5" x14ac:dyDescent="0.35">
      <c r="A19" s="6">
        <f>$C$6*0.2</f>
        <v>36.4</v>
      </c>
      <c r="B19" s="7">
        <f>IFERROR(VLOOKUP(D19,PREÇOS!$B$2:$C$32,2,FALSE),0)</f>
        <v>0.8</v>
      </c>
      <c r="C19" s="7">
        <f>$A$19*$B$19</f>
        <v>29.12</v>
      </c>
      <c r="D19" s="2" t="s">
        <v>34</v>
      </c>
    </row>
    <row r="20" spans="1:4" ht="15.5" x14ac:dyDescent="0.35">
      <c r="A20" s="6">
        <f>$C$6*0.004</f>
        <v>0.72799999999999998</v>
      </c>
      <c r="B20" s="7">
        <f>IFERROR(VLOOKUP(D20,PREÇOS!$B$2:$C$32,2,FALSE),0)</f>
        <v>3</v>
      </c>
      <c r="C20" s="7">
        <f>$A$20*$B$20</f>
        <v>2.1840000000000002</v>
      </c>
      <c r="D20" s="2" t="s">
        <v>41</v>
      </c>
    </row>
    <row r="21" spans="1:4" ht="15.5" x14ac:dyDescent="0.35">
      <c r="A21" s="6">
        <f>$C$6*0.009</f>
        <v>1.6379999999999999</v>
      </c>
      <c r="B21" s="7">
        <f>IFERROR(VLOOKUP(D21,PREÇOS!$B$2:$C$32,2,FALSE),0)</f>
        <v>2.8</v>
      </c>
      <c r="C21" s="7">
        <f>$A$21*$B$21</f>
        <v>4.5863999999999994</v>
      </c>
      <c r="D21" s="2" t="s">
        <v>42</v>
      </c>
    </row>
    <row r="22" spans="1:4" ht="15.5" x14ac:dyDescent="0.35">
      <c r="A22" s="6">
        <f>$C$6*0.004</f>
        <v>0.72799999999999998</v>
      </c>
      <c r="B22" s="7">
        <f>IFERROR(VLOOKUP(D22,PREÇOS!$B$2:$C$32,2,FALSE),0)</f>
        <v>3</v>
      </c>
      <c r="C22" s="7">
        <f>$A$22*$B$22</f>
        <v>2.1840000000000002</v>
      </c>
      <c r="D22" s="2" t="s">
        <v>43</v>
      </c>
    </row>
    <row r="23" spans="1:4" ht="15.5" x14ac:dyDescent="0.35">
      <c r="A23" s="6">
        <f>$C$6*0.04</f>
        <v>7.28</v>
      </c>
      <c r="B23" s="7">
        <f>IFERROR(VLOOKUP(D23,PREÇOS!$B$2:$C$32,2,FALSE),0)</f>
        <v>2.6</v>
      </c>
      <c r="C23" s="7">
        <f>$A$23*$B$23</f>
        <v>18.928000000000001</v>
      </c>
      <c r="D23" s="2" t="s">
        <v>17</v>
      </c>
    </row>
    <row r="24" spans="1:4" ht="15.5" x14ac:dyDescent="0.35">
      <c r="A24" s="6">
        <f>$C$6*0.04</f>
        <v>7.28</v>
      </c>
      <c r="B24" s="7">
        <f>IFERROR(VLOOKUP(D24,PREÇOS!$B$2:$C$32,2,FALSE),0)</f>
        <v>3.8</v>
      </c>
      <c r="C24" s="7">
        <f>$A$24*$B$24</f>
        <v>27.663999999999998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36.4</v>
      </c>
      <c r="B26" s="7">
        <f>IFERROR(VLOOKUP(D26,PREÇOS!$B$2:$C$32,2,FALSE),0)</f>
        <v>0.6</v>
      </c>
      <c r="C26" s="7">
        <f>$A$26*$B$26</f>
        <v>21.84</v>
      </c>
      <c r="D26" s="2" t="s">
        <v>35</v>
      </c>
    </row>
    <row r="27" spans="1:4" ht="15.5" x14ac:dyDescent="0.35">
      <c r="A27" s="6">
        <f>$C$6*0.2</f>
        <v>36.4</v>
      </c>
      <c r="B27" s="7">
        <f>IFERROR(VLOOKUP(D27,PREÇOS!$B$2:$C$32,2,FALSE),0)</f>
        <v>0.5</v>
      </c>
      <c r="C27" s="7">
        <f>$A$27*$B$27</f>
        <v>18.2</v>
      </c>
      <c r="D27" s="2" t="s">
        <v>12</v>
      </c>
    </row>
    <row r="28" spans="1:4" ht="15.5" x14ac:dyDescent="0.35">
      <c r="A28" s="6">
        <f>$C$6*0.1</f>
        <v>18.2</v>
      </c>
      <c r="B28" s="7">
        <f>IFERROR(VLOOKUP(D28,PREÇOS!$B$2:$C$32,2,FALSE),0)</f>
        <v>0.75</v>
      </c>
      <c r="C28" s="7">
        <f>$A$28*$B$28</f>
        <v>13.649999999999999</v>
      </c>
      <c r="D28" s="2" t="s">
        <v>11</v>
      </c>
    </row>
    <row r="29" spans="1:4" ht="15.5" x14ac:dyDescent="0.35">
      <c r="A29" s="6">
        <f>$C$6*0.1</f>
        <v>18.2</v>
      </c>
      <c r="B29" s="7">
        <f>IFERROR(VLOOKUP(D29,PREÇOS!$B$2:$C$32,2,FALSE),0)</f>
        <v>0.6</v>
      </c>
      <c r="C29" s="7">
        <f>$A$29*$B$29</f>
        <v>10.92</v>
      </c>
      <c r="D29" s="2" t="s">
        <v>37</v>
      </c>
    </row>
    <row r="30" spans="1:4" ht="15.5" x14ac:dyDescent="0.35">
      <c r="A30" s="6">
        <f>$C$6*0.2</f>
        <v>36.4</v>
      </c>
      <c r="B30" s="7">
        <f>IFERROR(VLOOKUP(D30,PREÇOS!$B$2:$C$32,2,FALSE),0)</f>
        <v>0.8</v>
      </c>
      <c r="C30" s="7">
        <f>$A$30*$B$30</f>
        <v>29.12</v>
      </c>
      <c r="D30" s="2" t="s">
        <v>31</v>
      </c>
    </row>
    <row r="31" spans="1:4" ht="15.5" x14ac:dyDescent="0.35">
      <c r="A31" s="6">
        <f>$C$6*0.2</f>
        <v>36.4</v>
      </c>
      <c r="B31" s="7">
        <f>IFERROR(VLOOKUP(D31,PREÇOS!$B$2:$C$32,2,FALSE),0)</f>
        <v>0.8</v>
      </c>
      <c r="C31" s="7">
        <f>$A$31*$B$31</f>
        <v>29.12</v>
      </c>
      <c r="D31" s="2" t="s">
        <v>30</v>
      </c>
    </row>
    <row r="32" spans="1:4" ht="15.5" x14ac:dyDescent="0.35">
      <c r="A32" s="6">
        <f>$C$6*0.2</f>
        <v>36.4</v>
      </c>
      <c r="B32" s="7">
        <f>IFERROR(VLOOKUP(D32,PREÇOS!$B$2:$C$32,2,FALSE),0)</f>
        <v>0.85</v>
      </c>
      <c r="C32" s="7">
        <f>$A$32*$B$32</f>
        <v>30.939999999999998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127.39999999999999</v>
      </c>
      <c r="B34" s="42">
        <f>IFERROR(VLOOKUP(D34,PREÇOS!$B$2:$C$32,2,FALSE),0)</f>
        <v>1.6</v>
      </c>
      <c r="C34" s="42">
        <f>$A$34*$B$34</f>
        <v>203.84</v>
      </c>
      <c r="D34" s="43" t="s">
        <v>24</v>
      </c>
    </row>
    <row r="35" spans="1:4" ht="15.5" x14ac:dyDescent="0.35">
      <c r="A35" s="6">
        <f>$C$6*0.5</f>
        <v>91</v>
      </c>
      <c r="B35" s="7">
        <f>IFERROR(VLOOKUP(D35,PREÇOS!$B$2:$C$32,2,FALSE),0)</f>
        <v>1.8</v>
      </c>
      <c r="C35" s="7">
        <f>$A$35*$B$35</f>
        <v>163.80000000000001</v>
      </c>
      <c r="D35" s="2" t="s">
        <v>23</v>
      </c>
    </row>
    <row r="36" spans="1:4" ht="15.5" x14ac:dyDescent="0.35">
      <c r="A36" s="6">
        <f>$C$6*0.5</f>
        <v>91</v>
      </c>
      <c r="B36" s="3">
        <f>IFERROR(VLOOKUP(D36,PREÇOS!$B$2:$C$32,2,FALSE),0)</f>
        <v>0.95</v>
      </c>
      <c r="C36" s="7">
        <f>$A$36*$B$36</f>
        <v>86.45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904.66740000000004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182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127.39999999999999</v>
      </c>
      <c r="B43" s="7">
        <f>IFERROR(VLOOKUP(D43,PREÇOS!$B$2:$C$32,2,FALSE),0)</f>
        <v>0.63</v>
      </c>
      <c r="C43" s="7">
        <f>$A$43*$B$43</f>
        <v>80.262</v>
      </c>
      <c r="D43" s="2" t="s">
        <v>28</v>
      </c>
    </row>
    <row r="44" spans="1:4" ht="15.5" x14ac:dyDescent="0.35">
      <c r="A44" s="6">
        <f>$C$41*0.3</f>
        <v>54.6</v>
      </c>
      <c r="B44" s="7">
        <f>IFERROR(VLOOKUP(D44,PREÇOS!$B$2:$C$32,2,FALSE),0)</f>
        <v>0.95</v>
      </c>
      <c r="C44" s="7">
        <f>$A$44*$B$44</f>
        <v>51.87</v>
      </c>
      <c r="D44" s="2" t="s">
        <v>29</v>
      </c>
    </row>
    <row r="45" spans="1:4" ht="15.5" x14ac:dyDescent="0.35">
      <c r="A45" s="6">
        <f>$C$41*0.6</f>
        <v>109.2</v>
      </c>
      <c r="B45" s="7">
        <f>IFERROR(VLOOKUP(D45,PREÇOS!$B$2:$C$32,2,FALSE),0)</f>
        <v>0.95</v>
      </c>
      <c r="C45" s="7">
        <f>$A$45*$B$45</f>
        <v>103.74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235.87200000000001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881B-9C07-4A09-8291-80B88ACA1CB8}">
  <dimension ref="A1:O58"/>
  <sheetViews>
    <sheetView workbookViewId="0">
      <selection activeCell="C42" sqref="C42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83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161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144.9</v>
      </c>
      <c r="B9" s="7">
        <f>IFERROR(VLOOKUP(D9,PREÇOS!$B$2:$C$32,2,FALSE),0)</f>
        <v>0.4</v>
      </c>
      <c r="C9" s="7">
        <f>$A$9*$B$9</f>
        <v>57.960000000000008</v>
      </c>
      <c r="D9" s="2" t="s">
        <v>4</v>
      </c>
    </row>
    <row r="10" spans="1:15" ht="15.5" x14ac:dyDescent="0.35">
      <c r="A10" s="6">
        <f>$C$6*0.2</f>
        <v>32.200000000000003</v>
      </c>
      <c r="B10" s="7">
        <f>IFERROR(VLOOKUP(D10,PREÇOS!$B$2:$C$32,2,FALSE),0)</f>
        <v>0.6</v>
      </c>
      <c r="C10" s="7">
        <f>$A$10*$B$10</f>
        <v>19.32</v>
      </c>
      <c r="D10" s="2" t="s">
        <v>9</v>
      </c>
    </row>
    <row r="11" spans="1:15" ht="15.5" x14ac:dyDescent="0.35">
      <c r="A11" s="6">
        <f>$C$6*0.2</f>
        <v>32.200000000000003</v>
      </c>
      <c r="B11" s="7">
        <f>IFERROR(VLOOKUP(D11,PREÇOS!$B$2:$C$32,2,FALSE),0)</f>
        <v>0.8</v>
      </c>
      <c r="C11" s="7">
        <f>$A$11*$B$11</f>
        <v>25.760000000000005</v>
      </c>
      <c r="D11" s="2" t="s">
        <v>5</v>
      </c>
      <c r="F11" s="3"/>
    </row>
    <row r="12" spans="1:15" ht="15.5" x14ac:dyDescent="0.35">
      <c r="A12" s="6">
        <f>$C$6*0.2</f>
        <v>32.200000000000003</v>
      </c>
      <c r="B12" s="7">
        <f>IFERROR(VLOOKUP(D12,PREÇOS!$B$2:$C$32,2,FALSE),0)</f>
        <v>0.45</v>
      </c>
      <c r="C12" s="7">
        <f>$A$12*$B$12</f>
        <v>14.490000000000002</v>
      </c>
      <c r="D12" s="2" t="s">
        <v>10</v>
      </c>
      <c r="E12" s="14"/>
      <c r="M12" s="15"/>
    </row>
    <row r="13" spans="1:15" ht="15.5" x14ac:dyDescent="0.35">
      <c r="A13" s="6">
        <f>$C$6*0.2</f>
        <v>32.200000000000003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16.100000000000001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32.200000000000003</v>
      </c>
      <c r="B15" s="7">
        <f>IFERROR(VLOOKUP(D15,PREÇOS!$B$2:$C$32,2,FALSE),0)</f>
        <v>0.8</v>
      </c>
      <c r="C15" s="7">
        <f>$A$15*$B$15</f>
        <v>25.760000000000005</v>
      </c>
      <c r="D15" s="2" t="s">
        <v>33</v>
      </c>
    </row>
    <row r="16" spans="1:15" ht="15.5" x14ac:dyDescent="0.35">
      <c r="A16" s="6">
        <f>$C$6*0.2</f>
        <v>32.200000000000003</v>
      </c>
      <c r="B16" s="7">
        <f>IFERROR(VLOOKUP(D16,PREÇOS!$B$2:$C$32,2,FALSE),0)</f>
        <v>0.7</v>
      </c>
      <c r="C16" s="7">
        <f>$A$16*$B$16</f>
        <v>22.54</v>
      </c>
      <c r="D16" s="2" t="s">
        <v>36</v>
      </c>
    </row>
    <row r="17" spans="1:4" ht="15.5" x14ac:dyDescent="0.35">
      <c r="A17" s="6">
        <f>$C$6*0.01</f>
        <v>1.61</v>
      </c>
      <c r="B17" s="7">
        <f>IFERROR(VLOOKUP(D17,PREÇOS!$B$2:$C$32,2,FALSE),0)</f>
        <v>1.55</v>
      </c>
      <c r="C17" s="7">
        <f>$A$17*$B$17</f>
        <v>2.4955000000000003</v>
      </c>
      <c r="D17" s="2" t="s">
        <v>38</v>
      </c>
    </row>
    <row r="18" spans="1:4" ht="15.5" x14ac:dyDescent="0.35">
      <c r="A18" s="6">
        <f>$C$6*0.3</f>
        <v>48.3</v>
      </c>
      <c r="B18" s="7">
        <f>IFERROR(VLOOKUP(D18,PREÇOS!$B$2:$C$32,2,FALSE),0)</f>
        <v>0.4</v>
      </c>
      <c r="C18" s="7">
        <f>$A$18*$B$18</f>
        <v>19.32</v>
      </c>
      <c r="D18" s="2" t="s">
        <v>40</v>
      </c>
    </row>
    <row r="19" spans="1:4" ht="15.5" x14ac:dyDescent="0.35">
      <c r="A19" s="6">
        <f>$C$6*0.2</f>
        <v>32.200000000000003</v>
      </c>
      <c r="B19" s="7">
        <f>IFERROR(VLOOKUP(D19,PREÇOS!$B$2:$C$32,2,FALSE),0)</f>
        <v>0.8</v>
      </c>
      <c r="C19" s="7">
        <f>$A$19*$B$19</f>
        <v>25.760000000000005</v>
      </c>
      <c r="D19" s="2" t="s">
        <v>34</v>
      </c>
    </row>
    <row r="20" spans="1:4" ht="15.5" x14ac:dyDescent="0.35">
      <c r="A20" s="6">
        <f>$C$6*0.004</f>
        <v>0.64400000000000002</v>
      </c>
      <c r="B20" s="7">
        <f>IFERROR(VLOOKUP(D20,PREÇOS!$B$2:$C$32,2,FALSE),0)</f>
        <v>3</v>
      </c>
      <c r="C20" s="7">
        <f>$A$20*$B$20</f>
        <v>1.9319999999999999</v>
      </c>
      <c r="D20" s="2" t="s">
        <v>41</v>
      </c>
    </row>
    <row r="21" spans="1:4" ht="15.5" x14ac:dyDescent="0.35">
      <c r="A21" s="6">
        <f>$C$6*0.009</f>
        <v>1.4489999999999998</v>
      </c>
      <c r="B21" s="7">
        <f>IFERROR(VLOOKUP(D21,PREÇOS!$B$2:$C$32,2,FALSE),0)</f>
        <v>2.8</v>
      </c>
      <c r="C21" s="7">
        <f>$A$21*$B$21</f>
        <v>4.057199999999999</v>
      </c>
      <c r="D21" s="2" t="s">
        <v>42</v>
      </c>
    </row>
    <row r="22" spans="1:4" ht="15.5" x14ac:dyDescent="0.35">
      <c r="A22" s="6">
        <f>$C$6*0.004</f>
        <v>0.64400000000000002</v>
      </c>
      <c r="B22" s="7">
        <f>IFERROR(VLOOKUP(D22,PREÇOS!$B$2:$C$32,2,FALSE),0)</f>
        <v>3</v>
      </c>
      <c r="C22" s="7">
        <f>$A$22*$B$22</f>
        <v>1.9319999999999999</v>
      </c>
      <c r="D22" s="2" t="s">
        <v>43</v>
      </c>
    </row>
    <row r="23" spans="1:4" ht="15.5" x14ac:dyDescent="0.35">
      <c r="A23" s="6">
        <f>$C$6*0.04</f>
        <v>6.44</v>
      </c>
      <c r="B23" s="7">
        <f>IFERROR(VLOOKUP(D23,PREÇOS!$B$2:$C$32,2,FALSE),0)</f>
        <v>2.6</v>
      </c>
      <c r="C23" s="7">
        <f>$A$23*$B$23</f>
        <v>16.744000000000003</v>
      </c>
      <c r="D23" s="2" t="s">
        <v>17</v>
      </c>
    </row>
    <row r="24" spans="1:4" ht="15.5" x14ac:dyDescent="0.35">
      <c r="A24" s="6">
        <f>$C$6*0.04</f>
        <v>6.44</v>
      </c>
      <c r="B24" s="7">
        <f>IFERROR(VLOOKUP(D24,PREÇOS!$B$2:$C$32,2,FALSE),0)</f>
        <v>3.8</v>
      </c>
      <c r="C24" s="7">
        <f>$A$24*$B$24</f>
        <v>24.472000000000001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32.200000000000003</v>
      </c>
      <c r="B26" s="7">
        <f>IFERROR(VLOOKUP(D26,PREÇOS!$B$2:$C$32,2,FALSE),0)</f>
        <v>0.6</v>
      </c>
      <c r="C26" s="7">
        <f>$A$26*$B$26</f>
        <v>19.32</v>
      </c>
      <c r="D26" s="2" t="s">
        <v>35</v>
      </c>
    </row>
    <row r="27" spans="1:4" ht="15.5" x14ac:dyDescent="0.35">
      <c r="A27" s="6">
        <f>$C$6*0.2</f>
        <v>32.200000000000003</v>
      </c>
      <c r="B27" s="7">
        <f>IFERROR(VLOOKUP(D27,PREÇOS!$B$2:$C$32,2,FALSE),0)</f>
        <v>0.5</v>
      </c>
      <c r="C27" s="7">
        <f>$A$27*$B$27</f>
        <v>16.100000000000001</v>
      </c>
      <c r="D27" s="2" t="s">
        <v>12</v>
      </c>
    </row>
    <row r="28" spans="1:4" ht="15.5" x14ac:dyDescent="0.35">
      <c r="A28" s="6">
        <f>$C$6*0.1</f>
        <v>16.100000000000001</v>
      </c>
      <c r="B28" s="7">
        <f>IFERROR(VLOOKUP(D28,PREÇOS!$B$2:$C$32,2,FALSE),0)</f>
        <v>0.75</v>
      </c>
      <c r="C28" s="7">
        <f>$A$28*$B$28</f>
        <v>12.075000000000001</v>
      </c>
      <c r="D28" s="2" t="s">
        <v>11</v>
      </c>
    </row>
    <row r="29" spans="1:4" ht="15.5" x14ac:dyDescent="0.35">
      <c r="A29" s="6">
        <f>$C$6*0.1</f>
        <v>16.100000000000001</v>
      </c>
      <c r="B29" s="7">
        <f>IFERROR(VLOOKUP(D29,PREÇOS!$B$2:$C$32,2,FALSE),0)</f>
        <v>0.6</v>
      </c>
      <c r="C29" s="7">
        <f>$A$29*$B$29</f>
        <v>9.66</v>
      </c>
      <c r="D29" s="2" t="s">
        <v>37</v>
      </c>
    </row>
    <row r="30" spans="1:4" ht="15.5" x14ac:dyDescent="0.35">
      <c r="A30" s="6">
        <f>$C$6*0.2</f>
        <v>32.200000000000003</v>
      </c>
      <c r="B30" s="7">
        <f>IFERROR(VLOOKUP(D30,PREÇOS!$B$2:$C$32,2,FALSE),0)</f>
        <v>0.8</v>
      </c>
      <c r="C30" s="7">
        <f>$A$30*$B$30</f>
        <v>25.760000000000005</v>
      </c>
      <c r="D30" s="2" t="s">
        <v>31</v>
      </c>
    </row>
    <row r="31" spans="1:4" ht="15.5" x14ac:dyDescent="0.35">
      <c r="A31" s="6">
        <f>$C$6*0.2</f>
        <v>32.200000000000003</v>
      </c>
      <c r="B31" s="7">
        <f>IFERROR(VLOOKUP(D31,PREÇOS!$B$2:$C$32,2,FALSE),0)</f>
        <v>0.8</v>
      </c>
      <c r="C31" s="7">
        <f>$A$31*$B$31</f>
        <v>25.760000000000005</v>
      </c>
      <c r="D31" s="2" t="s">
        <v>30</v>
      </c>
    </row>
    <row r="32" spans="1:4" ht="15.5" x14ac:dyDescent="0.35">
      <c r="A32" s="6">
        <f>$C$6*0.2</f>
        <v>32.200000000000003</v>
      </c>
      <c r="B32" s="7">
        <f>IFERROR(VLOOKUP(D32,PREÇOS!$B$2:$C$32,2,FALSE),0)</f>
        <v>0.85</v>
      </c>
      <c r="C32" s="7">
        <f>$A$32*$B$32</f>
        <v>27.37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112.69999999999999</v>
      </c>
      <c r="B34" s="42">
        <f>IFERROR(VLOOKUP(D34,PREÇOS!$B$2:$C$32,2,FALSE),0)</f>
        <v>1.6</v>
      </c>
      <c r="C34" s="42">
        <f>$A$34*$B$34</f>
        <v>180.32</v>
      </c>
      <c r="D34" s="43" t="s">
        <v>24</v>
      </c>
    </row>
    <row r="35" spans="1:4" ht="15.5" x14ac:dyDescent="0.35">
      <c r="A35" s="6">
        <f>$C$6*0.5</f>
        <v>80.5</v>
      </c>
      <c r="B35" s="7">
        <f>IFERROR(VLOOKUP(D35,PREÇOS!$B$2:$C$32,2,FALSE),0)</f>
        <v>1.8</v>
      </c>
      <c r="C35" s="7">
        <f>$A$35*$B$35</f>
        <v>144.9</v>
      </c>
      <c r="D35" s="2" t="s">
        <v>23</v>
      </c>
    </row>
    <row r="36" spans="1:4" ht="15.5" x14ac:dyDescent="0.35">
      <c r="A36" s="6">
        <f>$C$6*0.5</f>
        <v>80.5</v>
      </c>
      <c r="B36" s="3">
        <f>IFERROR(VLOOKUP(D36,PREÇOS!$B$2:$C$32,2,FALSE),0)</f>
        <v>0.95</v>
      </c>
      <c r="C36" s="7">
        <f>$A$36*$B$36</f>
        <v>76.474999999999994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800.28269999999998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161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112.69999999999999</v>
      </c>
      <c r="B43" s="7">
        <f>IFERROR(VLOOKUP(D43,PREÇOS!$B$2:$C$32,2,FALSE),0)</f>
        <v>0.63</v>
      </c>
      <c r="C43" s="7">
        <f>$A$43*$B$43</f>
        <v>71.000999999999991</v>
      </c>
      <c r="D43" s="2" t="s">
        <v>28</v>
      </c>
    </row>
    <row r="44" spans="1:4" ht="15.5" x14ac:dyDescent="0.35">
      <c r="A44" s="6">
        <f>$C$41*0.3</f>
        <v>48.3</v>
      </c>
      <c r="B44" s="7">
        <f>IFERROR(VLOOKUP(D44,PREÇOS!$B$2:$C$32,2,FALSE),0)</f>
        <v>0.95</v>
      </c>
      <c r="C44" s="7">
        <f>$A$44*$B$44</f>
        <v>45.884999999999998</v>
      </c>
      <c r="D44" s="2" t="s">
        <v>29</v>
      </c>
    </row>
    <row r="45" spans="1:4" ht="15.5" x14ac:dyDescent="0.35">
      <c r="A45" s="6">
        <f>$C$41*0.6</f>
        <v>96.6</v>
      </c>
      <c r="B45" s="7">
        <f>IFERROR(VLOOKUP(D45,PREÇOS!$B$2:$C$32,2,FALSE),0)</f>
        <v>0.95</v>
      </c>
      <c r="C45" s="7">
        <f>$A$45*$B$45</f>
        <v>91.77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208.65600000000001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C508-FB7F-4785-9685-E34BD6FB5CD5}">
  <dimension ref="A1:O58"/>
  <sheetViews>
    <sheetView workbookViewId="0">
      <selection activeCell="I21" sqref="I21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84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187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168.3</v>
      </c>
      <c r="B9" s="7">
        <f>IFERROR(VLOOKUP(D9,PREÇOS!$B$2:$C$32,2,FALSE),0)</f>
        <v>0.4</v>
      </c>
      <c r="C9" s="7">
        <f>$A$9*$B$9</f>
        <v>67.320000000000007</v>
      </c>
      <c r="D9" s="2" t="s">
        <v>4</v>
      </c>
    </row>
    <row r="10" spans="1:15" ht="15.5" x14ac:dyDescent="0.35">
      <c r="A10" s="6">
        <f>$C$6*0.2</f>
        <v>37.4</v>
      </c>
      <c r="B10" s="7">
        <f>IFERROR(VLOOKUP(D10,PREÇOS!$B$2:$C$32,2,FALSE),0)</f>
        <v>0.6</v>
      </c>
      <c r="C10" s="7">
        <f>$A$10*$B$10</f>
        <v>22.439999999999998</v>
      </c>
      <c r="D10" s="2" t="s">
        <v>9</v>
      </c>
    </row>
    <row r="11" spans="1:15" ht="15.5" x14ac:dyDescent="0.35">
      <c r="A11" s="6">
        <f>$C$6*0.2</f>
        <v>37.4</v>
      </c>
      <c r="B11" s="7">
        <f>IFERROR(VLOOKUP(D11,PREÇOS!$B$2:$C$32,2,FALSE),0)</f>
        <v>0.8</v>
      </c>
      <c r="C11" s="7">
        <f>$A$11*$B$11</f>
        <v>29.92</v>
      </c>
      <c r="D11" s="2" t="s">
        <v>5</v>
      </c>
      <c r="F11" s="3"/>
    </row>
    <row r="12" spans="1:15" ht="15.5" x14ac:dyDescent="0.35">
      <c r="A12" s="6">
        <f>$C$6*0.2</f>
        <v>37.4</v>
      </c>
      <c r="B12" s="7">
        <f>IFERROR(VLOOKUP(D12,PREÇOS!$B$2:$C$32,2,FALSE),0)</f>
        <v>0.45</v>
      </c>
      <c r="C12" s="7">
        <f>$A$12*$B$12</f>
        <v>16.829999999999998</v>
      </c>
      <c r="D12" s="2" t="s">
        <v>10</v>
      </c>
      <c r="E12" s="14"/>
      <c r="M12" s="15"/>
    </row>
    <row r="13" spans="1:15" ht="15.5" x14ac:dyDescent="0.35">
      <c r="A13" s="6">
        <f>$C$6*0.2</f>
        <v>37.4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18.7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37.4</v>
      </c>
      <c r="B15" s="7">
        <f>IFERROR(VLOOKUP(D15,PREÇOS!$B$2:$C$32,2,FALSE),0)</f>
        <v>0.8</v>
      </c>
      <c r="C15" s="7">
        <f>$A$15*$B$15</f>
        <v>29.92</v>
      </c>
      <c r="D15" s="2" t="s">
        <v>33</v>
      </c>
    </row>
    <row r="16" spans="1:15" ht="15.5" x14ac:dyDescent="0.35">
      <c r="A16" s="6">
        <f>$C$6*0.2</f>
        <v>37.4</v>
      </c>
      <c r="B16" s="7">
        <f>IFERROR(VLOOKUP(D16,PREÇOS!$B$2:$C$32,2,FALSE),0)</f>
        <v>0.7</v>
      </c>
      <c r="C16" s="7">
        <f>$A$16*$B$16</f>
        <v>26.179999999999996</v>
      </c>
      <c r="D16" s="2" t="s">
        <v>36</v>
      </c>
    </row>
    <row r="17" spans="1:4" ht="15.5" x14ac:dyDescent="0.35">
      <c r="A17" s="6">
        <f>$C$6*0.01</f>
        <v>1.87</v>
      </c>
      <c r="B17" s="7">
        <f>IFERROR(VLOOKUP(D17,PREÇOS!$B$2:$C$32,2,FALSE),0)</f>
        <v>1.55</v>
      </c>
      <c r="C17" s="7">
        <f>$A$17*$B$17</f>
        <v>2.8985000000000003</v>
      </c>
      <c r="D17" s="2" t="s">
        <v>38</v>
      </c>
    </row>
    <row r="18" spans="1:4" ht="15.5" x14ac:dyDescent="0.35">
      <c r="A18" s="6">
        <f>$C$6*0.3</f>
        <v>56.1</v>
      </c>
      <c r="B18" s="7">
        <f>IFERROR(VLOOKUP(D18,PREÇOS!$B$2:$C$32,2,FALSE),0)</f>
        <v>0.4</v>
      </c>
      <c r="C18" s="7">
        <f>$A$18*$B$18</f>
        <v>22.44</v>
      </c>
      <c r="D18" s="2" t="s">
        <v>40</v>
      </c>
    </row>
    <row r="19" spans="1:4" ht="15.5" x14ac:dyDescent="0.35">
      <c r="A19" s="6">
        <f>$C$6*0.2</f>
        <v>37.4</v>
      </c>
      <c r="B19" s="7">
        <f>IFERROR(VLOOKUP(D19,PREÇOS!$B$2:$C$32,2,FALSE),0)</f>
        <v>0.8</v>
      </c>
      <c r="C19" s="7">
        <f>$A$19*$B$19</f>
        <v>29.92</v>
      </c>
      <c r="D19" s="2" t="s">
        <v>34</v>
      </c>
    </row>
    <row r="20" spans="1:4" ht="15.5" x14ac:dyDescent="0.35">
      <c r="A20" s="6">
        <f>$C$6*0.004</f>
        <v>0.748</v>
      </c>
      <c r="B20" s="7">
        <f>IFERROR(VLOOKUP(D20,PREÇOS!$B$2:$C$32,2,FALSE),0)</f>
        <v>3</v>
      </c>
      <c r="C20" s="7">
        <f>$A$20*$B$20</f>
        <v>2.2439999999999998</v>
      </c>
      <c r="D20" s="2" t="s">
        <v>41</v>
      </c>
    </row>
    <row r="21" spans="1:4" ht="15.5" x14ac:dyDescent="0.35">
      <c r="A21" s="6">
        <f>$C$6*0.009</f>
        <v>1.6829999999999998</v>
      </c>
      <c r="B21" s="7">
        <f>IFERROR(VLOOKUP(D21,PREÇOS!$B$2:$C$32,2,FALSE),0)</f>
        <v>2.8</v>
      </c>
      <c r="C21" s="7">
        <f>$A$21*$B$21</f>
        <v>4.7123999999999988</v>
      </c>
      <c r="D21" s="2" t="s">
        <v>42</v>
      </c>
    </row>
    <row r="22" spans="1:4" ht="15.5" x14ac:dyDescent="0.35">
      <c r="A22" s="6">
        <f>$C$6*0.004</f>
        <v>0.748</v>
      </c>
      <c r="B22" s="7">
        <f>IFERROR(VLOOKUP(D22,PREÇOS!$B$2:$C$32,2,FALSE),0)</f>
        <v>3</v>
      </c>
      <c r="C22" s="7">
        <f>$A$22*$B$22</f>
        <v>2.2439999999999998</v>
      </c>
      <c r="D22" s="2" t="s">
        <v>43</v>
      </c>
    </row>
    <row r="23" spans="1:4" ht="15.5" x14ac:dyDescent="0.35">
      <c r="A23" s="6">
        <f>$C$6*0.04</f>
        <v>7.48</v>
      </c>
      <c r="B23" s="7">
        <f>IFERROR(VLOOKUP(D23,PREÇOS!$B$2:$C$32,2,FALSE),0)</f>
        <v>2.6</v>
      </c>
      <c r="C23" s="7">
        <f>$A$23*$B$23</f>
        <v>19.448</v>
      </c>
      <c r="D23" s="2" t="s">
        <v>17</v>
      </c>
    </row>
    <row r="24" spans="1:4" ht="15.5" x14ac:dyDescent="0.35">
      <c r="A24" s="6">
        <f>$C$6*0.04</f>
        <v>7.48</v>
      </c>
      <c r="B24" s="7">
        <f>IFERROR(VLOOKUP(D24,PREÇOS!$B$2:$C$32,2,FALSE),0)</f>
        <v>3.8</v>
      </c>
      <c r="C24" s="7">
        <f>$A$24*$B$24</f>
        <v>28.423999999999999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37.4</v>
      </c>
      <c r="B26" s="7">
        <f>IFERROR(VLOOKUP(D26,PREÇOS!$B$2:$C$32,2,FALSE),0)</f>
        <v>0.6</v>
      </c>
      <c r="C26" s="7">
        <f>$A$26*$B$26</f>
        <v>22.439999999999998</v>
      </c>
      <c r="D26" s="2" t="s">
        <v>35</v>
      </c>
    </row>
    <row r="27" spans="1:4" ht="15.5" x14ac:dyDescent="0.35">
      <c r="A27" s="6">
        <f>$C$6*0.2</f>
        <v>37.4</v>
      </c>
      <c r="B27" s="7">
        <f>IFERROR(VLOOKUP(D27,PREÇOS!$B$2:$C$32,2,FALSE),0)</f>
        <v>0.5</v>
      </c>
      <c r="C27" s="7">
        <f>$A$27*$B$27</f>
        <v>18.7</v>
      </c>
      <c r="D27" s="2" t="s">
        <v>12</v>
      </c>
    </row>
    <row r="28" spans="1:4" ht="15.5" x14ac:dyDescent="0.35">
      <c r="A28" s="6">
        <f>$C$6*0.1</f>
        <v>18.7</v>
      </c>
      <c r="B28" s="7">
        <f>IFERROR(VLOOKUP(D28,PREÇOS!$B$2:$C$32,2,FALSE),0)</f>
        <v>0.75</v>
      </c>
      <c r="C28" s="7">
        <f>$A$28*$B$28</f>
        <v>14.024999999999999</v>
      </c>
      <c r="D28" s="2" t="s">
        <v>11</v>
      </c>
    </row>
    <row r="29" spans="1:4" ht="15.5" x14ac:dyDescent="0.35">
      <c r="A29" s="6">
        <f>$C$6*0.1</f>
        <v>18.7</v>
      </c>
      <c r="B29" s="7">
        <f>IFERROR(VLOOKUP(D29,PREÇOS!$B$2:$C$32,2,FALSE),0)</f>
        <v>0.6</v>
      </c>
      <c r="C29" s="7">
        <f>$A$29*$B$29</f>
        <v>11.219999999999999</v>
      </c>
      <c r="D29" s="2" t="s">
        <v>37</v>
      </c>
    </row>
    <row r="30" spans="1:4" ht="15.5" x14ac:dyDescent="0.35">
      <c r="A30" s="6">
        <f>$C$6*0.2</f>
        <v>37.4</v>
      </c>
      <c r="B30" s="7">
        <f>IFERROR(VLOOKUP(D30,PREÇOS!$B$2:$C$32,2,FALSE),0)</f>
        <v>0.8</v>
      </c>
      <c r="C30" s="7">
        <f>$A$30*$B$30</f>
        <v>29.92</v>
      </c>
      <c r="D30" s="2" t="s">
        <v>31</v>
      </c>
    </row>
    <row r="31" spans="1:4" ht="15.5" x14ac:dyDescent="0.35">
      <c r="A31" s="6">
        <f>$C$6*0.2</f>
        <v>37.4</v>
      </c>
      <c r="B31" s="7">
        <f>IFERROR(VLOOKUP(D31,PREÇOS!$B$2:$C$32,2,FALSE),0)</f>
        <v>0.8</v>
      </c>
      <c r="C31" s="7">
        <f>$A$31*$B$31</f>
        <v>29.92</v>
      </c>
      <c r="D31" s="2" t="s">
        <v>30</v>
      </c>
    </row>
    <row r="32" spans="1:4" ht="15.5" x14ac:dyDescent="0.35">
      <c r="A32" s="6">
        <f>$C$6*0.2</f>
        <v>37.4</v>
      </c>
      <c r="B32" s="7">
        <f>IFERROR(VLOOKUP(D32,PREÇOS!$B$2:$C$32,2,FALSE),0)</f>
        <v>0.85</v>
      </c>
      <c r="C32" s="7">
        <f>$A$32*$B$32</f>
        <v>31.79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130.9</v>
      </c>
      <c r="B34" s="42">
        <f>IFERROR(VLOOKUP(D34,PREÇOS!$B$2:$C$32,2,FALSE),0)</f>
        <v>1.6</v>
      </c>
      <c r="C34" s="42">
        <f>$A$34*$B$34</f>
        <v>209.44000000000003</v>
      </c>
      <c r="D34" s="43" t="s">
        <v>24</v>
      </c>
    </row>
    <row r="35" spans="1:4" ht="15.5" x14ac:dyDescent="0.35">
      <c r="A35" s="6">
        <f>$C$6*0.5</f>
        <v>93.5</v>
      </c>
      <c r="B35" s="7">
        <f>IFERROR(VLOOKUP(D35,PREÇOS!$B$2:$C$32,2,FALSE),0)</f>
        <v>1.8</v>
      </c>
      <c r="C35" s="7">
        <f>$A$35*$B$35</f>
        <v>168.3</v>
      </c>
      <c r="D35" s="2" t="s">
        <v>23</v>
      </c>
    </row>
    <row r="36" spans="1:4" ht="15.5" x14ac:dyDescent="0.35">
      <c r="A36" s="6">
        <f>$C$6*0.5</f>
        <v>93.5</v>
      </c>
      <c r="B36" s="3">
        <f>IFERROR(VLOOKUP(D36,PREÇOS!$B$2:$C$32,2,FALSE),0)</f>
        <v>0.95</v>
      </c>
      <c r="C36" s="7">
        <f>$A$36*$B$36</f>
        <v>88.825000000000003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929.52089999999998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187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130.9</v>
      </c>
      <c r="B43" s="7">
        <f>IFERROR(VLOOKUP(D43,PREÇOS!$B$2:$C$32,2,FALSE),0)</f>
        <v>0.63</v>
      </c>
      <c r="C43" s="7">
        <f>$A$43*$B$43</f>
        <v>82.466999999999999</v>
      </c>
      <c r="D43" s="2" t="s">
        <v>28</v>
      </c>
    </row>
    <row r="44" spans="1:4" ht="15.5" x14ac:dyDescent="0.35">
      <c r="A44" s="6">
        <f>$C$41*0.3</f>
        <v>56.1</v>
      </c>
      <c r="B44" s="7">
        <f>IFERROR(VLOOKUP(D44,PREÇOS!$B$2:$C$32,2,FALSE),0)</f>
        <v>0.95</v>
      </c>
      <c r="C44" s="7">
        <f>$A$44*$B$44</f>
        <v>53.295000000000002</v>
      </c>
      <c r="D44" s="2" t="s">
        <v>29</v>
      </c>
    </row>
    <row r="45" spans="1:4" ht="15.5" x14ac:dyDescent="0.35">
      <c r="A45" s="6">
        <f>$C$41*0.6</f>
        <v>112.2</v>
      </c>
      <c r="B45" s="7">
        <f>IFERROR(VLOOKUP(D45,PREÇOS!$B$2:$C$32,2,FALSE),0)</f>
        <v>0.95</v>
      </c>
      <c r="C45" s="7">
        <f>$A$45*$B$45</f>
        <v>106.59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242.352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42BC-7DF0-474A-BA3C-F4765CB12A7D}">
  <dimension ref="A1:O58"/>
  <sheetViews>
    <sheetView workbookViewId="0">
      <selection activeCell="D12" sqref="D12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85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171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153.9</v>
      </c>
      <c r="B9" s="7">
        <f>IFERROR(VLOOKUP(D9,PREÇOS!$B$2:$C$32,2,FALSE),0)</f>
        <v>0.4</v>
      </c>
      <c r="C9" s="7">
        <f>$A$9*$B$9</f>
        <v>61.56</v>
      </c>
      <c r="D9" s="2" t="s">
        <v>4</v>
      </c>
    </row>
    <row r="10" spans="1:15" ht="15.5" x14ac:dyDescent="0.35">
      <c r="A10" s="6">
        <f>$C$6*0.2</f>
        <v>34.200000000000003</v>
      </c>
      <c r="B10" s="7">
        <f>IFERROR(VLOOKUP(D10,PREÇOS!$B$2:$C$32,2,FALSE),0)</f>
        <v>0.6</v>
      </c>
      <c r="C10" s="7">
        <f>$A$10*$B$10</f>
        <v>20.52</v>
      </c>
      <c r="D10" s="2" t="s">
        <v>9</v>
      </c>
    </row>
    <row r="11" spans="1:15" ht="15.5" x14ac:dyDescent="0.35">
      <c r="A11" s="6">
        <f>$C$6*0.2</f>
        <v>34.200000000000003</v>
      </c>
      <c r="B11" s="7">
        <f>IFERROR(VLOOKUP(D11,PREÇOS!$B$2:$C$32,2,FALSE),0)</f>
        <v>0.8</v>
      </c>
      <c r="C11" s="7">
        <f>$A$11*$B$11</f>
        <v>27.360000000000003</v>
      </c>
      <c r="D11" s="2" t="s">
        <v>5</v>
      </c>
      <c r="F11" s="3"/>
    </row>
    <row r="12" spans="1:15" ht="15.5" x14ac:dyDescent="0.35">
      <c r="A12" s="6">
        <f>$C$6*0.2</f>
        <v>34.200000000000003</v>
      </c>
      <c r="B12" s="7">
        <f>IFERROR(VLOOKUP(D12,PREÇOS!$B$2:$C$32,2,FALSE),0)</f>
        <v>0.45</v>
      </c>
      <c r="C12" s="7">
        <f>$A$12*$B$12</f>
        <v>15.390000000000002</v>
      </c>
      <c r="D12" s="2" t="s">
        <v>10</v>
      </c>
      <c r="E12" s="14"/>
      <c r="M12" s="15"/>
    </row>
    <row r="13" spans="1:15" ht="15.5" x14ac:dyDescent="0.35">
      <c r="A13" s="6">
        <f>$C$6*0.2</f>
        <v>34.200000000000003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17.100000000000001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34.200000000000003</v>
      </c>
      <c r="B15" s="7">
        <f>IFERROR(VLOOKUP(D15,PREÇOS!$B$2:$C$32,2,FALSE),0)</f>
        <v>0.8</v>
      </c>
      <c r="C15" s="7">
        <f>$A$15*$B$15</f>
        <v>27.360000000000003</v>
      </c>
      <c r="D15" s="2" t="s">
        <v>33</v>
      </c>
    </row>
    <row r="16" spans="1:15" ht="15.5" x14ac:dyDescent="0.35">
      <c r="A16" s="6">
        <f>$C$6*0.2</f>
        <v>34.200000000000003</v>
      </c>
      <c r="B16" s="7">
        <f>IFERROR(VLOOKUP(D16,PREÇOS!$B$2:$C$32,2,FALSE),0)</f>
        <v>0.7</v>
      </c>
      <c r="C16" s="7">
        <f>$A$16*$B$16</f>
        <v>23.94</v>
      </c>
      <c r="D16" s="2" t="s">
        <v>36</v>
      </c>
    </row>
    <row r="17" spans="1:4" ht="15.5" x14ac:dyDescent="0.35">
      <c r="A17" s="6">
        <f>$C$6*0.01</f>
        <v>1.71</v>
      </c>
      <c r="B17" s="7">
        <f>IFERROR(VLOOKUP(D17,PREÇOS!$B$2:$C$32,2,FALSE),0)</f>
        <v>1.55</v>
      </c>
      <c r="C17" s="7">
        <f>$A$17*$B$17</f>
        <v>2.6505000000000001</v>
      </c>
      <c r="D17" s="2" t="s">
        <v>38</v>
      </c>
    </row>
    <row r="18" spans="1:4" ht="15.5" x14ac:dyDescent="0.35">
      <c r="A18" s="6">
        <f>$C$6*0.3</f>
        <v>51.3</v>
      </c>
      <c r="B18" s="7">
        <f>IFERROR(VLOOKUP(D18,PREÇOS!$B$2:$C$32,2,FALSE),0)</f>
        <v>0.4</v>
      </c>
      <c r="C18" s="7">
        <f>$A$18*$B$18</f>
        <v>20.52</v>
      </c>
      <c r="D18" s="2" t="s">
        <v>40</v>
      </c>
    </row>
    <row r="19" spans="1:4" ht="15.5" x14ac:dyDescent="0.35">
      <c r="A19" s="6">
        <f>$C$6*0.2</f>
        <v>34.200000000000003</v>
      </c>
      <c r="B19" s="7">
        <f>IFERROR(VLOOKUP(D19,PREÇOS!$B$2:$C$32,2,FALSE),0)</f>
        <v>0.8</v>
      </c>
      <c r="C19" s="7">
        <f>$A$19*$B$19</f>
        <v>27.360000000000003</v>
      </c>
      <c r="D19" s="2" t="s">
        <v>34</v>
      </c>
    </row>
    <row r="20" spans="1:4" ht="15.5" x14ac:dyDescent="0.35">
      <c r="A20" s="6">
        <f>$C$6*0.004</f>
        <v>0.68400000000000005</v>
      </c>
      <c r="B20" s="7">
        <f>IFERROR(VLOOKUP(D20,PREÇOS!$B$2:$C$32,2,FALSE),0)</f>
        <v>3</v>
      </c>
      <c r="C20" s="7">
        <f>$A$20*$B$20</f>
        <v>2.052</v>
      </c>
      <c r="D20" s="2" t="s">
        <v>41</v>
      </c>
    </row>
    <row r="21" spans="1:4" ht="15.5" x14ac:dyDescent="0.35">
      <c r="A21" s="6">
        <f>$C$6*0.009</f>
        <v>1.5389999999999999</v>
      </c>
      <c r="B21" s="7">
        <f>IFERROR(VLOOKUP(D21,PREÇOS!$B$2:$C$32,2,FALSE),0)</f>
        <v>2.8</v>
      </c>
      <c r="C21" s="7">
        <f>$A$21*$B$21</f>
        <v>4.3091999999999997</v>
      </c>
      <c r="D21" s="2" t="s">
        <v>42</v>
      </c>
    </row>
    <row r="22" spans="1:4" ht="15.5" x14ac:dyDescent="0.35">
      <c r="A22" s="6">
        <f>$C$6*0.004</f>
        <v>0.68400000000000005</v>
      </c>
      <c r="B22" s="7">
        <f>IFERROR(VLOOKUP(D22,PREÇOS!$B$2:$C$32,2,FALSE),0)</f>
        <v>3</v>
      </c>
      <c r="C22" s="7">
        <f>$A$22*$B$22</f>
        <v>2.052</v>
      </c>
      <c r="D22" s="2" t="s">
        <v>43</v>
      </c>
    </row>
    <row r="23" spans="1:4" ht="15.5" x14ac:dyDescent="0.35">
      <c r="A23" s="6">
        <f>$C$6*0.04</f>
        <v>6.84</v>
      </c>
      <c r="B23" s="7">
        <f>IFERROR(VLOOKUP(D23,PREÇOS!$B$2:$C$32,2,FALSE),0)</f>
        <v>2.6</v>
      </c>
      <c r="C23" s="7">
        <f>$A$23*$B$23</f>
        <v>17.783999999999999</v>
      </c>
      <c r="D23" s="2" t="s">
        <v>17</v>
      </c>
    </row>
    <row r="24" spans="1:4" ht="15.5" x14ac:dyDescent="0.35">
      <c r="A24" s="6">
        <f>$C$6*0.04</f>
        <v>6.84</v>
      </c>
      <c r="B24" s="7">
        <f>IFERROR(VLOOKUP(D24,PREÇOS!$B$2:$C$32,2,FALSE),0)</f>
        <v>3.8</v>
      </c>
      <c r="C24" s="7">
        <f>$A$24*$B$24</f>
        <v>25.991999999999997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34.200000000000003</v>
      </c>
      <c r="B26" s="7">
        <f>IFERROR(VLOOKUP(D26,PREÇOS!$B$2:$C$32,2,FALSE),0)</f>
        <v>0.6</v>
      </c>
      <c r="C26" s="7">
        <f>$A$26*$B$26</f>
        <v>20.52</v>
      </c>
      <c r="D26" s="2" t="s">
        <v>35</v>
      </c>
    </row>
    <row r="27" spans="1:4" ht="15.5" x14ac:dyDescent="0.35">
      <c r="A27" s="6">
        <f>$C$6*0.2</f>
        <v>34.200000000000003</v>
      </c>
      <c r="B27" s="7">
        <f>IFERROR(VLOOKUP(D27,PREÇOS!$B$2:$C$32,2,FALSE),0)</f>
        <v>0.5</v>
      </c>
      <c r="C27" s="7">
        <f>$A$27*$B$27</f>
        <v>17.100000000000001</v>
      </c>
      <c r="D27" s="2" t="s">
        <v>12</v>
      </c>
    </row>
    <row r="28" spans="1:4" ht="15.5" x14ac:dyDescent="0.35">
      <c r="A28" s="6">
        <f>$C$6*0.1</f>
        <v>17.100000000000001</v>
      </c>
      <c r="B28" s="7">
        <f>IFERROR(VLOOKUP(D28,PREÇOS!$B$2:$C$32,2,FALSE),0)</f>
        <v>0.75</v>
      </c>
      <c r="C28" s="7">
        <f>$A$28*$B$28</f>
        <v>12.825000000000001</v>
      </c>
      <c r="D28" s="2" t="s">
        <v>11</v>
      </c>
    </row>
    <row r="29" spans="1:4" ht="15.5" x14ac:dyDescent="0.35">
      <c r="A29" s="6">
        <f>$C$6*0.1</f>
        <v>17.100000000000001</v>
      </c>
      <c r="B29" s="7">
        <f>IFERROR(VLOOKUP(D29,PREÇOS!$B$2:$C$32,2,FALSE),0)</f>
        <v>0.6</v>
      </c>
      <c r="C29" s="7">
        <f>$A$29*$B$29</f>
        <v>10.26</v>
      </c>
      <c r="D29" s="2" t="s">
        <v>37</v>
      </c>
    </row>
    <row r="30" spans="1:4" ht="15.5" x14ac:dyDescent="0.35">
      <c r="A30" s="6">
        <f>$C$6*0.2</f>
        <v>34.200000000000003</v>
      </c>
      <c r="B30" s="7">
        <f>IFERROR(VLOOKUP(D30,PREÇOS!$B$2:$C$32,2,FALSE),0)</f>
        <v>0.8</v>
      </c>
      <c r="C30" s="7">
        <f>$A$30*$B$30</f>
        <v>27.360000000000003</v>
      </c>
      <c r="D30" s="2" t="s">
        <v>31</v>
      </c>
    </row>
    <row r="31" spans="1:4" ht="15.5" x14ac:dyDescent="0.35">
      <c r="A31" s="6">
        <f>$C$6*0.2</f>
        <v>34.200000000000003</v>
      </c>
      <c r="B31" s="7">
        <f>IFERROR(VLOOKUP(D31,PREÇOS!$B$2:$C$32,2,FALSE),0)</f>
        <v>0.8</v>
      </c>
      <c r="C31" s="7">
        <f>$A$31*$B$31</f>
        <v>27.360000000000003</v>
      </c>
      <c r="D31" s="2" t="s">
        <v>30</v>
      </c>
    </row>
    <row r="32" spans="1:4" ht="15.5" x14ac:dyDescent="0.35">
      <c r="A32" s="6">
        <f>$C$6*0.2</f>
        <v>34.200000000000003</v>
      </c>
      <c r="B32" s="7">
        <f>IFERROR(VLOOKUP(D32,PREÇOS!$B$2:$C$32,2,FALSE),0)</f>
        <v>0.85</v>
      </c>
      <c r="C32" s="7">
        <f>$A$32*$B$32</f>
        <v>29.07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119.69999999999999</v>
      </c>
      <c r="B34" s="42">
        <f>IFERROR(VLOOKUP(D34,PREÇOS!$B$2:$C$32,2,FALSE),0)</f>
        <v>1.6</v>
      </c>
      <c r="C34" s="42">
        <f>$A$34*$B$34</f>
        <v>191.51999999999998</v>
      </c>
      <c r="D34" s="43" t="s">
        <v>24</v>
      </c>
    </row>
    <row r="35" spans="1:4" ht="15.5" x14ac:dyDescent="0.35">
      <c r="A35" s="6">
        <f>$C$6*0.5</f>
        <v>85.5</v>
      </c>
      <c r="B35" s="7">
        <f>IFERROR(VLOOKUP(D35,PREÇOS!$B$2:$C$32,2,FALSE),0)</f>
        <v>1.8</v>
      </c>
      <c r="C35" s="7">
        <f>$A$35*$B$35</f>
        <v>153.9</v>
      </c>
      <c r="D35" s="2" t="s">
        <v>23</v>
      </c>
    </row>
    <row r="36" spans="1:4" ht="15.5" x14ac:dyDescent="0.35">
      <c r="A36" s="6">
        <f>$C$6*0.5</f>
        <v>85.5</v>
      </c>
      <c r="B36" s="3">
        <f>IFERROR(VLOOKUP(D36,PREÇOS!$B$2:$C$32,2,FALSE),0)</f>
        <v>0.95</v>
      </c>
      <c r="C36" s="7">
        <f>$A$36*$B$36</f>
        <v>81.224999999999994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849.98969999999997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171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119.69999999999999</v>
      </c>
      <c r="B43" s="7">
        <f>IFERROR(VLOOKUP(D43,PREÇOS!$B$2:$C$32,2,FALSE),0)</f>
        <v>0.63</v>
      </c>
      <c r="C43" s="7">
        <f>$A$43*$B$43</f>
        <v>75.410999999999987</v>
      </c>
      <c r="D43" s="2" t="s">
        <v>28</v>
      </c>
    </row>
    <row r="44" spans="1:4" ht="15.5" x14ac:dyDescent="0.35">
      <c r="A44" s="6">
        <f>$C$41*0.3</f>
        <v>51.3</v>
      </c>
      <c r="B44" s="7">
        <f>IFERROR(VLOOKUP(D44,PREÇOS!$B$2:$C$32,2,FALSE),0)</f>
        <v>0.95</v>
      </c>
      <c r="C44" s="7">
        <f>$A$44*$B$44</f>
        <v>48.734999999999992</v>
      </c>
      <c r="D44" s="2" t="s">
        <v>29</v>
      </c>
    </row>
    <row r="45" spans="1:4" ht="15.5" x14ac:dyDescent="0.35">
      <c r="A45" s="6">
        <f>$C$41*0.6</f>
        <v>102.6</v>
      </c>
      <c r="B45" s="7">
        <f>IFERROR(VLOOKUP(D45,PREÇOS!$B$2:$C$32,2,FALSE),0)</f>
        <v>0.95</v>
      </c>
      <c r="C45" s="7">
        <f>$A$45*$B$45</f>
        <v>97.469999999999985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221.61599999999999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94C0-69ED-4538-9E2B-23F8EE0BFB65}">
  <dimension ref="A1:O58"/>
  <sheetViews>
    <sheetView workbookViewId="0">
      <selection activeCell="F18" sqref="F18"/>
    </sheetView>
  </sheetViews>
  <sheetFormatPr defaultRowHeight="12.5" x14ac:dyDescent="0.25"/>
  <cols>
    <col min="1" max="2" width="11.54296875" customWidth="1"/>
    <col min="3" max="3" width="15.26953125" bestFit="1" customWidth="1"/>
    <col min="4" max="4" width="38.7265625" customWidth="1"/>
    <col min="6" max="6" width="12.26953125" customWidth="1"/>
  </cols>
  <sheetData>
    <row r="1" spans="1:15" ht="16" thickBot="1" x14ac:dyDescent="0.4">
      <c r="A1" s="65" t="s">
        <v>20</v>
      </c>
      <c r="B1" s="66"/>
      <c r="C1" s="66"/>
      <c r="D1" s="67"/>
    </row>
    <row r="2" spans="1:15" ht="16" thickBot="1" x14ac:dyDescent="0.4">
      <c r="A2" s="68" t="s">
        <v>0</v>
      </c>
      <c r="B2" s="69"/>
      <c r="C2" s="69"/>
      <c r="D2" s="70"/>
    </row>
    <row r="3" spans="1:15" x14ac:dyDescent="0.25">
      <c r="A3" s="35"/>
      <c r="B3" s="35"/>
      <c r="C3" s="35"/>
      <c r="D3" s="35"/>
    </row>
    <row r="4" spans="1:15" ht="13.5" thickBot="1" x14ac:dyDescent="0.35">
      <c r="A4" s="20" t="s">
        <v>18</v>
      </c>
      <c r="B4" s="20" t="s">
        <v>86</v>
      </c>
      <c r="C4" s="32"/>
      <c r="D4" s="12"/>
    </row>
    <row r="5" spans="1:15" ht="16" thickBot="1" x14ac:dyDescent="0.4">
      <c r="A5" s="65" t="s">
        <v>21</v>
      </c>
      <c r="B5" s="66"/>
      <c r="C5" s="66"/>
      <c r="D5" s="67"/>
    </row>
    <row r="6" spans="1:15" ht="16" thickBot="1" x14ac:dyDescent="0.4">
      <c r="A6" s="18" t="s">
        <v>1</v>
      </c>
      <c r="B6" s="18"/>
      <c r="C6" s="19">
        <v>172</v>
      </c>
      <c r="D6" s="19" t="s">
        <v>8</v>
      </c>
      <c r="F6" s="22" t="s">
        <v>16</v>
      </c>
      <c r="G6" s="16"/>
      <c r="H6" s="16"/>
      <c r="I6" s="16"/>
      <c r="J6" s="16"/>
      <c r="K6" s="17"/>
      <c r="L6" s="16"/>
      <c r="M6" s="16"/>
      <c r="N6" s="17"/>
      <c r="O6" s="17"/>
    </row>
    <row r="7" spans="1:15" ht="14.25" customHeight="1" x14ac:dyDescent="0.25">
      <c r="A7" s="4"/>
      <c r="B7" s="5"/>
      <c r="C7" s="5"/>
      <c r="D7" s="9"/>
    </row>
    <row r="8" spans="1:15" ht="15.5" x14ac:dyDescent="0.35">
      <c r="A8" s="29" t="s">
        <v>7</v>
      </c>
      <c r="B8" s="30" t="s">
        <v>19</v>
      </c>
      <c r="C8" s="30" t="s">
        <v>2</v>
      </c>
      <c r="D8" s="31" t="s">
        <v>3</v>
      </c>
    </row>
    <row r="9" spans="1:15" ht="15.5" x14ac:dyDescent="0.35">
      <c r="A9" s="6">
        <f>$C$6*0.9</f>
        <v>154.80000000000001</v>
      </c>
      <c r="B9" s="7">
        <f>IFERROR(VLOOKUP(D9,PREÇOS!$B$2:$C$32,2,FALSE),0)</f>
        <v>0.4</v>
      </c>
      <c r="C9" s="7">
        <f>$A$9*$B$9</f>
        <v>61.920000000000009</v>
      </c>
      <c r="D9" s="2" t="s">
        <v>4</v>
      </c>
    </row>
    <row r="10" spans="1:15" ht="15.5" x14ac:dyDescent="0.35">
      <c r="A10" s="6">
        <f>$C$6*0.2</f>
        <v>34.4</v>
      </c>
      <c r="B10" s="7">
        <f>IFERROR(VLOOKUP(D10,PREÇOS!$B$2:$C$32,2,FALSE),0)</f>
        <v>0.6</v>
      </c>
      <c r="C10" s="7">
        <f>$A$10*$B$10</f>
        <v>20.639999999999997</v>
      </c>
      <c r="D10" s="2" t="s">
        <v>9</v>
      </c>
    </row>
    <row r="11" spans="1:15" ht="15.5" x14ac:dyDescent="0.35">
      <c r="A11" s="6">
        <f>$C$6*0.2</f>
        <v>34.4</v>
      </c>
      <c r="B11" s="7">
        <f>IFERROR(VLOOKUP(D11,PREÇOS!$B$2:$C$32,2,FALSE),0)</f>
        <v>0.8</v>
      </c>
      <c r="C11" s="7">
        <f>$A$11*$B$11</f>
        <v>27.52</v>
      </c>
      <c r="D11" s="2" t="s">
        <v>5</v>
      </c>
      <c r="F11" s="3"/>
    </row>
    <row r="12" spans="1:15" ht="15.5" x14ac:dyDescent="0.35">
      <c r="A12" s="6">
        <f>$C$6*0.2</f>
        <v>34.4</v>
      </c>
      <c r="B12" s="7">
        <f>IFERROR(VLOOKUP(D12,PREÇOS!$B$2:$C$32,2,FALSE),0)</f>
        <v>0.45</v>
      </c>
      <c r="C12" s="7">
        <f>$A$12*$B$12</f>
        <v>15.48</v>
      </c>
      <c r="D12" s="2" t="s">
        <v>10</v>
      </c>
      <c r="E12" s="14"/>
      <c r="M12" s="15"/>
    </row>
    <row r="13" spans="1:15" ht="15.5" x14ac:dyDescent="0.35">
      <c r="A13" s="6">
        <f>$C$6*0.2</f>
        <v>34.4</v>
      </c>
      <c r="B13" s="7">
        <f>IFERROR(VLOOKUP(D13,PREÇOS!$B$2:$C$32,2,FALSE),0)</f>
        <v>0</v>
      </c>
      <c r="C13" s="7">
        <f>$A$13*$B$13</f>
        <v>0</v>
      </c>
      <c r="D13" s="2" t="s">
        <v>32</v>
      </c>
    </row>
    <row r="14" spans="1:15" ht="15.5" x14ac:dyDescent="0.35">
      <c r="A14" s="6">
        <f>$C$6*0.1</f>
        <v>17.2</v>
      </c>
      <c r="B14" s="7">
        <f>IFERROR(VLOOKUP(D14,PREÇOS!$B$2:$C$32,2,FALSE),0)</f>
        <v>0</v>
      </c>
      <c r="C14" s="7">
        <f>$A$14*$B$14</f>
        <v>0</v>
      </c>
      <c r="D14" s="2" t="s">
        <v>14</v>
      </c>
    </row>
    <row r="15" spans="1:15" ht="15.5" x14ac:dyDescent="0.35">
      <c r="A15" s="6">
        <f>$C$6*0.2</f>
        <v>34.4</v>
      </c>
      <c r="B15" s="7">
        <f>IFERROR(VLOOKUP(D15,PREÇOS!$B$2:$C$32,2,FALSE),0)</f>
        <v>0.8</v>
      </c>
      <c r="C15" s="7">
        <f>$A$15*$B$15</f>
        <v>27.52</v>
      </c>
      <c r="D15" s="2" t="s">
        <v>33</v>
      </c>
    </row>
    <row r="16" spans="1:15" ht="15.5" x14ac:dyDescent="0.35">
      <c r="A16" s="6">
        <f>$C$6*0.2</f>
        <v>34.4</v>
      </c>
      <c r="B16" s="7">
        <f>IFERROR(VLOOKUP(D16,PREÇOS!$B$2:$C$32,2,FALSE),0)</f>
        <v>0.7</v>
      </c>
      <c r="C16" s="7">
        <f>$A$16*$B$16</f>
        <v>24.08</v>
      </c>
      <c r="D16" s="2" t="s">
        <v>36</v>
      </c>
    </row>
    <row r="17" spans="1:4" ht="15.5" x14ac:dyDescent="0.35">
      <c r="A17" s="6">
        <f>$C$6*0.01</f>
        <v>1.72</v>
      </c>
      <c r="B17" s="7">
        <f>IFERROR(VLOOKUP(D17,PREÇOS!$B$2:$C$32,2,FALSE),0)</f>
        <v>1.55</v>
      </c>
      <c r="C17" s="7">
        <f>$A$17*$B$17</f>
        <v>2.6659999999999999</v>
      </c>
      <c r="D17" s="2" t="s">
        <v>38</v>
      </c>
    </row>
    <row r="18" spans="1:4" ht="15.5" x14ac:dyDescent="0.35">
      <c r="A18" s="6">
        <f>$C$6*0.3</f>
        <v>51.6</v>
      </c>
      <c r="B18" s="7">
        <f>IFERROR(VLOOKUP(D18,PREÇOS!$B$2:$C$32,2,FALSE),0)</f>
        <v>0.4</v>
      </c>
      <c r="C18" s="7">
        <f>$A$18*$B$18</f>
        <v>20.64</v>
      </c>
      <c r="D18" s="2" t="s">
        <v>40</v>
      </c>
    </row>
    <row r="19" spans="1:4" ht="15.5" x14ac:dyDescent="0.35">
      <c r="A19" s="6">
        <f>$C$6*0.2</f>
        <v>34.4</v>
      </c>
      <c r="B19" s="7">
        <f>IFERROR(VLOOKUP(D19,PREÇOS!$B$2:$C$32,2,FALSE),0)</f>
        <v>0.8</v>
      </c>
      <c r="C19" s="7">
        <f>$A$19*$B$19</f>
        <v>27.52</v>
      </c>
      <c r="D19" s="2" t="s">
        <v>34</v>
      </c>
    </row>
    <row r="20" spans="1:4" ht="15.5" x14ac:dyDescent="0.35">
      <c r="A20" s="6">
        <f>$C$6*0.004</f>
        <v>0.68800000000000006</v>
      </c>
      <c r="B20" s="7">
        <f>IFERROR(VLOOKUP(D20,PREÇOS!$B$2:$C$32,2,FALSE),0)</f>
        <v>3</v>
      </c>
      <c r="C20" s="7">
        <f>$A$20*$B$20</f>
        <v>2.0640000000000001</v>
      </c>
      <c r="D20" s="2" t="s">
        <v>41</v>
      </c>
    </row>
    <row r="21" spans="1:4" ht="15.5" x14ac:dyDescent="0.35">
      <c r="A21" s="6">
        <f>$C$6*0.009</f>
        <v>1.5479999999999998</v>
      </c>
      <c r="B21" s="7">
        <f>IFERROR(VLOOKUP(D21,PREÇOS!$B$2:$C$32,2,FALSE),0)</f>
        <v>2.8</v>
      </c>
      <c r="C21" s="7">
        <f>$A$21*$B$21</f>
        <v>4.3343999999999996</v>
      </c>
      <c r="D21" s="2" t="s">
        <v>42</v>
      </c>
    </row>
    <row r="22" spans="1:4" ht="15.5" x14ac:dyDescent="0.35">
      <c r="A22" s="6">
        <f>$C$6*0.004</f>
        <v>0.68800000000000006</v>
      </c>
      <c r="B22" s="7">
        <f>IFERROR(VLOOKUP(D22,PREÇOS!$B$2:$C$32,2,FALSE),0)</f>
        <v>3</v>
      </c>
      <c r="C22" s="7">
        <f>$A$22*$B$22</f>
        <v>2.0640000000000001</v>
      </c>
      <c r="D22" s="2" t="s">
        <v>43</v>
      </c>
    </row>
    <row r="23" spans="1:4" ht="15.5" x14ac:dyDescent="0.35">
      <c r="A23" s="6">
        <f>$C$6*0.04</f>
        <v>6.88</v>
      </c>
      <c r="B23" s="7">
        <f>IFERROR(VLOOKUP(D23,PREÇOS!$B$2:$C$32,2,FALSE),0)</f>
        <v>2.6</v>
      </c>
      <c r="C23" s="7">
        <f>$A$23*$B$23</f>
        <v>17.888000000000002</v>
      </c>
      <c r="D23" s="2" t="s">
        <v>17</v>
      </c>
    </row>
    <row r="24" spans="1:4" ht="15.5" x14ac:dyDescent="0.35">
      <c r="A24" s="6">
        <f>$C$6*0.04</f>
        <v>6.88</v>
      </c>
      <c r="B24" s="7">
        <f>IFERROR(VLOOKUP(D24,PREÇOS!$B$2:$C$32,2,FALSE),0)</f>
        <v>3.8</v>
      </c>
      <c r="C24" s="7">
        <f>$A$24*$B$24</f>
        <v>26.143999999999998</v>
      </c>
      <c r="D24" s="2" t="s">
        <v>44</v>
      </c>
    </row>
    <row r="25" spans="1:4" ht="15.5" x14ac:dyDescent="0.35">
      <c r="A25" s="29"/>
      <c r="B25" s="30"/>
      <c r="C25" s="30"/>
      <c r="D25" s="31" t="s">
        <v>46</v>
      </c>
    </row>
    <row r="26" spans="1:4" ht="15.5" x14ac:dyDescent="0.35">
      <c r="A26" s="6">
        <f>$C$6*0.2</f>
        <v>34.4</v>
      </c>
      <c r="B26" s="7">
        <f>IFERROR(VLOOKUP(D26,PREÇOS!$B$2:$C$32,2,FALSE),0)</f>
        <v>0.6</v>
      </c>
      <c r="C26" s="7">
        <f>$A$26*$B$26</f>
        <v>20.639999999999997</v>
      </c>
      <c r="D26" s="2" t="s">
        <v>35</v>
      </c>
    </row>
    <row r="27" spans="1:4" ht="15.5" x14ac:dyDescent="0.35">
      <c r="A27" s="6">
        <f>$C$6*0.2</f>
        <v>34.4</v>
      </c>
      <c r="B27" s="7">
        <f>IFERROR(VLOOKUP(D27,PREÇOS!$B$2:$C$32,2,FALSE),0)</f>
        <v>0.5</v>
      </c>
      <c r="C27" s="7">
        <f>$A$27*$B$27</f>
        <v>17.2</v>
      </c>
      <c r="D27" s="2" t="s">
        <v>12</v>
      </c>
    </row>
    <row r="28" spans="1:4" ht="15.5" x14ac:dyDescent="0.35">
      <c r="A28" s="6">
        <f>$C$6*0.1</f>
        <v>17.2</v>
      </c>
      <c r="B28" s="7">
        <f>IFERROR(VLOOKUP(D28,PREÇOS!$B$2:$C$32,2,FALSE),0)</f>
        <v>0.75</v>
      </c>
      <c r="C28" s="7">
        <f>$A$28*$B$28</f>
        <v>12.899999999999999</v>
      </c>
      <c r="D28" s="2" t="s">
        <v>11</v>
      </c>
    </row>
    <row r="29" spans="1:4" ht="15.5" x14ac:dyDescent="0.35">
      <c r="A29" s="6">
        <f>$C$6*0.1</f>
        <v>17.2</v>
      </c>
      <c r="B29" s="7">
        <f>IFERROR(VLOOKUP(D29,PREÇOS!$B$2:$C$32,2,FALSE),0)</f>
        <v>0.6</v>
      </c>
      <c r="C29" s="7">
        <f>$A$29*$B$29</f>
        <v>10.319999999999999</v>
      </c>
      <c r="D29" s="2" t="s">
        <v>37</v>
      </c>
    </row>
    <row r="30" spans="1:4" ht="15.5" x14ac:dyDescent="0.35">
      <c r="A30" s="6">
        <f>$C$6*0.2</f>
        <v>34.4</v>
      </c>
      <c r="B30" s="7">
        <f>IFERROR(VLOOKUP(D30,PREÇOS!$B$2:$C$32,2,FALSE),0)</f>
        <v>0.8</v>
      </c>
      <c r="C30" s="7">
        <f>$A$30*$B$30</f>
        <v>27.52</v>
      </c>
      <c r="D30" s="2" t="s">
        <v>31</v>
      </c>
    </row>
    <row r="31" spans="1:4" ht="15.5" x14ac:dyDescent="0.35">
      <c r="A31" s="6">
        <f>$C$6*0.2</f>
        <v>34.4</v>
      </c>
      <c r="B31" s="7">
        <f>IFERROR(VLOOKUP(D31,PREÇOS!$B$2:$C$32,2,FALSE),0)</f>
        <v>0.8</v>
      </c>
      <c r="C31" s="7">
        <f>$A$31*$B$31</f>
        <v>27.52</v>
      </c>
      <c r="D31" s="2" t="s">
        <v>30</v>
      </c>
    </row>
    <row r="32" spans="1:4" ht="15.5" x14ac:dyDescent="0.35">
      <c r="A32" s="6">
        <f>$C$6*0.2</f>
        <v>34.4</v>
      </c>
      <c r="B32" s="7">
        <f>IFERROR(VLOOKUP(D32,PREÇOS!$B$2:$C$32,2,FALSE),0)</f>
        <v>0.85</v>
      </c>
      <c r="C32" s="7">
        <f>$A$32*$B$32</f>
        <v>29.24</v>
      </c>
      <c r="D32" s="2" t="s">
        <v>39</v>
      </c>
    </row>
    <row r="33" spans="1:4" ht="16" thickBot="1" x14ac:dyDescent="0.4">
      <c r="A33" s="38"/>
      <c r="B33" s="39"/>
      <c r="C33" s="39"/>
      <c r="D33" s="40" t="s">
        <v>22</v>
      </c>
    </row>
    <row r="34" spans="1:4" ht="15.5" x14ac:dyDescent="0.35">
      <c r="A34" s="41">
        <f>$C$6*0.7</f>
        <v>120.39999999999999</v>
      </c>
      <c r="B34" s="42">
        <f>IFERROR(VLOOKUP(D34,PREÇOS!$B$2:$C$32,2,FALSE),0)</f>
        <v>1.6</v>
      </c>
      <c r="C34" s="42">
        <f>$A$34*$B$34</f>
        <v>192.64</v>
      </c>
      <c r="D34" s="43" t="s">
        <v>24</v>
      </c>
    </row>
    <row r="35" spans="1:4" ht="15.5" x14ac:dyDescent="0.35">
      <c r="A35" s="6">
        <f>$C$6*0.5</f>
        <v>86</v>
      </c>
      <c r="B35" s="7">
        <f>IFERROR(VLOOKUP(D35,PREÇOS!$B$2:$C$32,2,FALSE),0)</f>
        <v>1.8</v>
      </c>
      <c r="C35" s="7">
        <f>$A$35*$B$35</f>
        <v>154.80000000000001</v>
      </c>
      <c r="D35" s="2" t="s">
        <v>23</v>
      </c>
    </row>
    <row r="36" spans="1:4" ht="15.5" x14ac:dyDescent="0.35">
      <c r="A36" s="6">
        <f>$C$6*0.5</f>
        <v>86</v>
      </c>
      <c r="B36" s="3">
        <f>IFERROR(VLOOKUP(D36,PREÇOS!$B$2:$C$32,2,FALSE),0)</f>
        <v>0.95</v>
      </c>
      <c r="C36" s="7">
        <f>$A$36*$B$36</f>
        <v>81.7</v>
      </c>
      <c r="D36" s="23" t="s">
        <v>25</v>
      </c>
    </row>
    <row r="37" spans="1:4" ht="16" thickBot="1" x14ac:dyDescent="0.4">
      <c r="A37" s="6"/>
      <c r="B37" s="3"/>
      <c r="C37" s="7"/>
      <c r="D37" s="23"/>
    </row>
    <row r="38" spans="1:4" ht="16" thickBot="1" x14ac:dyDescent="0.4">
      <c r="A38" s="10" t="s">
        <v>47</v>
      </c>
      <c r="B38" s="21"/>
      <c r="C38" s="11">
        <f>SUM(C9:C37)</f>
        <v>854.96039999999994</v>
      </c>
      <c r="D38" s="13"/>
    </row>
    <row r="39" spans="1:4" ht="16" thickBot="1" x14ac:dyDescent="0.4">
      <c r="A39" s="1"/>
      <c r="B39" s="1"/>
      <c r="C39" s="8"/>
      <c r="D39" s="1"/>
    </row>
    <row r="40" spans="1:4" ht="16" thickBot="1" x14ac:dyDescent="0.4">
      <c r="A40" s="71" t="s">
        <v>26</v>
      </c>
      <c r="B40" s="72"/>
      <c r="C40" s="72"/>
      <c r="D40" s="73"/>
    </row>
    <row r="41" spans="1:4" ht="15.5" x14ac:dyDescent="0.35">
      <c r="A41" s="27" t="s">
        <v>1</v>
      </c>
      <c r="B41" s="18"/>
      <c r="C41" s="19">
        <v>172</v>
      </c>
      <c r="D41" s="28" t="s">
        <v>8</v>
      </c>
    </row>
    <row r="42" spans="1:4" ht="15.5" x14ac:dyDescent="0.35">
      <c r="A42" s="33" t="s">
        <v>7</v>
      </c>
      <c r="B42" s="30"/>
      <c r="C42" s="30"/>
      <c r="D42" s="34" t="s">
        <v>27</v>
      </c>
    </row>
    <row r="43" spans="1:4" ht="15.5" x14ac:dyDescent="0.35">
      <c r="A43" s="6">
        <f>$C$41*0.7</f>
        <v>120.39999999999999</v>
      </c>
      <c r="B43" s="7">
        <f>IFERROR(VLOOKUP(D43,PREÇOS!$B$2:$C$32,2,FALSE),0)</f>
        <v>0.63</v>
      </c>
      <c r="C43" s="7">
        <f>$A$43*$B$43</f>
        <v>75.85199999999999</v>
      </c>
      <c r="D43" s="2" t="s">
        <v>28</v>
      </c>
    </row>
    <row r="44" spans="1:4" ht="15.5" x14ac:dyDescent="0.35">
      <c r="A44" s="6">
        <f>$C$41*0.3</f>
        <v>51.6</v>
      </c>
      <c r="B44" s="7">
        <f>IFERROR(VLOOKUP(D44,PREÇOS!$B$2:$C$32,2,FALSE),0)</f>
        <v>0.95</v>
      </c>
      <c r="C44" s="7">
        <f>$A$44*$B$44</f>
        <v>49.019999999999996</v>
      </c>
      <c r="D44" s="2" t="s">
        <v>29</v>
      </c>
    </row>
    <row r="45" spans="1:4" ht="15.5" x14ac:dyDescent="0.35">
      <c r="A45" s="6">
        <f>$C$41*0.6</f>
        <v>103.2</v>
      </c>
      <c r="B45" s="7">
        <f>IFERROR(VLOOKUP(D45,PREÇOS!$B$2:$C$32,2,FALSE),0)</f>
        <v>0.95</v>
      </c>
      <c r="C45" s="7">
        <f>$A$45*$B$45</f>
        <v>98.039999999999992</v>
      </c>
      <c r="D45" s="2" t="s">
        <v>45</v>
      </c>
    </row>
    <row r="46" spans="1:4" ht="15.5" x14ac:dyDescent="0.35">
      <c r="A46" s="6"/>
      <c r="B46" s="3"/>
      <c r="C46" s="7">
        <f>$A$46*$B$46</f>
        <v>0</v>
      </c>
      <c r="D46" s="2"/>
    </row>
    <row r="47" spans="1:4" ht="15.5" x14ac:dyDescent="0.35">
      <c r="A47" s="6"/>
      <c r="B47" s="3"/>
      <c r="C47" s="7">
        <f>$A$47*$B$47</f>
        <v>0</v>
      </c>
      <c r="D47" s="44"/>
    </row>
    <row r="48" spans="1:4" ht="16" thickBot="1" x14ac:dyDescent="0.4">
      <c r="A48" s="6"/>
      <c r="B48" s="3"/>
      <c r="C48" s="7"/>
      <c r="D48" s="44"/>
    </row>
    <row r="49" spans="1:4" ht="16" thickBot="1" x14ac:dyDescent="0.4">
      <c r="A49" s="24" t="s">
        <v>47</v>
      </c>
      <c r="B49" s="25"/>
      <c r="C49" s="26">
        <f>SUM(C43:C47)</f>
        <v>222.91199999999998</v>
      </c>
      <c r="D49" s="37"/>
    </row>
    <row r="50" spans="1:4" ht="16" thickBot="1" x14ac:dyDescent="0.4">
      <c r="A50" s="1"/>
      <c r="B50" s="1"/>
      <c r="C50" s="8"/>
      <c r="D50" s="1"/>
    </row>
    <row r="51" spans="1:4" ht="16" thickBot="1" x14ac:dyDescent="0.4">
      <c r="A51" s="71" t="s">
        <v>15</v>
      </c>
      <c r="B51" s="72"/>
      <c r="C51" s="72"/>
      <c r="D51" s="73"/>
    </row>
    <row r="52" spans="1:4" ht="15.5" x14ac:dyDescent="0.35">
      <c r="A52" s="18" t="s">
        <v>1</v>
      </c>
      <c r="B52" s="18"/>
      <c r="C52" s="19">
        <v>200</v>
      </c>
      <c r="D52" s="19" t="s">
        <v>8</v>
      </c>
    </row>
    <row r="53" spans="1:4" ht="15.5" x14ac:dyDescent="0.35">
      <c r="A53" s="29" t="s">
        <v>7</v>
      </c>
      <c r="B53" s="30"/>
      <c r="C53" s="30"/>
      <c r="D53" s="31" t="s">
        <v>3</v>
      </c>
    </row>
    <row r="54" spans="1:4" ht="15.5" x14ac:dyDescent="0.35">
      <c r="A54" s="6">
        <f>$C$52*0.9</f>
        <v>180</v>
      </c>
      <c r="B54" s="7">
        <f>IFERROR(VLOOKUP(D54,PREÇOS!$B$2:$C$32,2,FALSE),0)</f>
        <v>0.65</v>
      </c>
      <c r="C54" s="7">
        <f>$A$54*$B$54</f>
        <v>117</v>
      </c>
      <c r="D54" s="2" t="s">
        <v>6</v>
      </c>
    </row>
    <row r="55" spans="1:4" ht="15.5" x14ac:dyDescent="0.35">
      <c r="A55" s="6">
        <f>$C$52*0.6</f>
        <v>120</v>
      </c>
      <c r="B55" s="7">
        <f>IFERROR(VLOOKUP(D55,PREÇOS!$B$2:$C$32,2,FALSE),0)</f>
        <v>0.8</v>
      </c>
      <c r="C55" s="7">
        <f>$A$55*$B55</f>
        <v>96</v>
      </c>
      <c r="D55" s="2" t="s">
        <v>13</v>
      </c>
    </row>
    <row r="56" spans="1:4" ht="15.5" x14ac:dyDescent="0.35">
      <c r="A56" s="6"/>
      <c r="B56" s="3"/>
      <c r="C56" s="7"/>
      <c r="D56" s="2"/>
    </row>
    <row r="57" spans="1:4" ht="16" thickBot="1" x14ac:dyDescent="0.4">
      <c r="A57" s="6"/>
      <c r="B57" s="3"/>
      <c r="C57" s="7"/>
      <c r="D57" s="2"/>
    </row>
    <row r="58" spans="1:4" ht="16" thickBot="1" x14ac:dyDescent="0.4">
      <c r="A58" s="24" t="s">
        <v>47</v>
      </c>
      <c r="B58" s="25"/>
      <c r="C58" s="36">
        <f>SUM(C54:C57)</f>
        <v>213</v>
      </c>
      <c r="D58" s="37"/>
    </row>
  </sheetData>
  <mergeCells count="5">
    <mergeCell ref="A1:D1"/>
    <mergeCell ref="A2:D2"/>
    <mergeCell ref="A5:D5"/>
    <mergeCell ref="A40:D40"/>
    <mergeCell ref="A51:D5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89B3-F8E2-4657-B550-7558D482057D}">
  <dimension ref="A1:G49"/>
  <sheetViews>
    <sheetView zoomScale="70" zoomScaleNormal="70" workbookViewId="0">
      <selection activeCell="C2" sqref="C2"/>
    </sheetView>
  </sheetViews>
  <sheetFormatPr defaultRowHeight="12.5" x14ac:dyDescent="0.25"/>
  <cols>
    <col min="1" max="1" width="79.26953125" bestFit="1" customWidth="1"/>
    <col min="2" max="7" width="23.6328125" customWidth="1"/>
  </cols>
  <sheetData>
    <row r="1" spans="1:7" ht="20" x14ac:dyDescent="0.4">
      <c r="A1" s="50" t="s">
        <v>87</v>
      </c>
    </row>
    <row r="2" spans="1:7" ht="13" x14ac:dyDescent="0.3">
      <c r="A2" s="45" t="s">
        <v>88</v>
      </c>
    </row>
    <row r="4" spans="1:7" ht="13" x14ac:dyDescent="0.3">
      <c r="A4" s="53" t="s">
        <v>48</v>
      </c>
      <c r="B4" s="53" t="s">
        <v>89</v>
      </c>
    </row>
    <row r="5" spans="1:7" ht="15.5" x14ac:dyDescent="0.35">
      <c r="A5" s="54" t="s">
        <v>90</v>
      </c>
      <c r="B5" s="60">
        <f>SUM('DIA 1'!C9:C24)+SUM('DIA 2'!C9:C24)+SUM('DIA 3'!C9:C24)+SUM('DIA 4'!C9:C24)+SUM('DIA 5'!C9:C24)+SUM('DIA 6'!C9:C24)+SUM('DIA 7'!C9:C24)+SUM('DIA 8'!C9:C24)+SUM('DIA 9'!C9:C24)+SUM('DIA 10'!C9:C24)+SUM('DIA 11'!C9:C24)+SUM('DIA 12'!C9:C24)+SUM('DIA 13'!C9:C24)+SUM('DIA 14'!C9:C24)+SUM('DIA 15'!C9:C24)+SUM('DIA 16'!C9:C24)+SUM('DIA 17'!C9:C24)+SUM('DIA 18'!C9:C24)+SUM('DIA 19'!C9:C24)+SUM('DIA 20'!C9:C24)+SUM('DIA 21'!C9:C24)+SUM('DIA 22'!C9:C24)+SUM('DIA 23'!C9:C24)+SUM('DIA 24'!C9:C24)+SUM('DIA 25'!C9:C24)+SUM('DIA 26'!C9:C24)+SUM('DIA 27'!C9:C24)+SUM('DIA 28'!C9:C24)+SUM('DIA 29'!C9:C24)+SUM('DIA 30'!C9:C24)</f>
        <v>2025.3293999999999</v>
      </c>
    </row>
    <row r="6" spans="1:7" ht="15.5" x14ac:dyDescent="0.35">
      <c r="A6" s="54" t="s">
        <v>91</v>
      </c>
      <c r="B6" s="60">
        <f>SUM('DIA 1'!C26:C32)+SUM('DIA 2'!C26:C32)+SUM('DIA 3'!C26:C32)+SUM('DIA 4'!C26:C32)+SUM('DIA 5'!C26:C32)+SUM('DIA 6'!C26:C32)+SUM('DIA 7'!C26:C32)+SUM('DIA 8'!C26:C32)+SUM('DIA 9'!C26:C32)+SUM('DIA 10'!C26:C32)+SUM('DIA 11'!C26:C32)+SUM('DIA 12'!C26:C32)+SUM('DIA 13'!C26:C32)+SUM('DIA 14'!C26:C32)+SUM('DIA 15'!C26:C32)+SUM('DIA 16'!C26:C32)+SUM('DIA 17'!C26:C32)+SUM('DIA 18'!C26:C32)+SUM('DIA 19'!C26:C32)+SUM('DIA 20'!C26:C32)+SUM('DIA 21'!C26:C32)+SUM('DIA 22'!C26:C32)+SUM('DIA 23'!C26:C32)+SUM('DIA 24'!C26:C32)+SUM('DIA 25'!C26:C32)+SUM('DIA 26'!C26:C32)+SUM('DIA 27'!C26:C32)+SUM('DIA 28'!C26:C32)+SUM('DIA 29'!C26:C32)+SUM('DIA 30'!C26:C32)</f>
        <v>1049.49</v>
      </c>
    </row>
    <row r="7" spans="1:7" ht="15.5" x14ac:dyDescent="0.35">
      <c r="A7" s="54" t="s">
        <v>92</v>
      </c>
      <c r="B7" s="60">
        <f>SUM('DIA 1'!C34:C36)+SUM('DIA 2'!C34:C36)+SUM('DIA 3'!C34:C36)+SUM('DIA 4'!C34:C36)+SUM('DIA 5'!C34:C36)+SUM('DIA 6'!C34:C36)+SUM('DIA 7'!C34:C36)+SUM('DIA 8'!C34:C36)+SUM('DIA 9'!C34:C36)+SUM('DIA 10'!C34:C36)+SUM('DIA 11'!C34:C36)+SUM('DIA 12'!C34:C36)+SUM('DIA 13'!C34:C36)+SUM('DIA 14'!C34:C36)+SUM('DIA 15'!C34:C36)+SUM('DIA 16'!C34:C36)+SUM('DIA 17'!C34:C36)+SUM('DIA 18'!C34:C36)+SUM('DIA 19'!C34:C36)+SUM('DIA 20'!C34:C36)+SUM('DIA 21'!C34:C36)+SUM('DIA 22'!C34:C36)+SUM('DIA 23'!C34:C36)+SUM('DIA 24'!C34:C36)+SUM('DIA 25'!C34:C36)+SUM('DIA 26'!C34:C36)+SUM('DIA 27'!C34:C36)+SUM('DIA 28'!C34:C36)+SUM('DIA 29'!C34:C36)+SUM('DIA 30'!C34:C36)</f>
        <v>3098.79</v>
      </c>
    </row>
    <row r="8" spans="1:7" ht="15.5" x14ac:dyDescent="0.35">
      <c r="A8" s="54" t="s">
        <v>26</v>
      </c>
      <c r="B8" s="60">
        <f>'DIA 1'!C49+'DIA 2'!C49+'DIA 3'!C49+'DIA 4'!C49+'DIA 5'!C49+'DIA 6'!C49+'DIA 7'!C49+'DIA 8'!C49+'DIA 9'!C49+'DIA 10'!C49+'DIA 11'!C49+'DIA 12'!C49+'DIA 13'!C49+'DIA 14'!C49+'DIA 15'!C49+'DIA 16'!C49+'DIA 17'!C49+'DIA 18'!C49+'DIA 19'!C49+'DIA 20'!C49+'DIA 21'!C49+'DIA 22'!C49+'DIA 23'!C49+'DIA 24'!C49+'DIA 25'!C49+'DIA 26'!C49+'DIA 27'!C49+'DIA 28'!C49+'DIA 29'!C49+'DIA 30'!C49</f>
        <v>1608.336</v>
      </c>
    </row>
    <row r="9" spans="1:7" ht="15.5" x14ac:dyDescent="0.35">
      <c r="A9" s="54" t="s">
        <v>93</v>
      </c>
      <c r="B9" s="60">
        <f>'DIA 1'!C58+'DIA 2'!C58+'DIA 3'!C58+'DIA 4'!C58+'DIA 5'!C58+'DIA 6'!C58+'DIA 7'!C58+'DIA 8'!C58+'DIA 9'!C58+'DIA 10'!C58+'DIA 11'!C58+'DIA 12'!C58+'DIA 13'!C58+'DIA 14'!C58+'DIA 15'!C58+'DIA 16'!C58+'DIA 17'!C58+'DIA 18'!C58+'DIA 19'!C58+'DIA 20'!C58+'DIA 21'!C58+'DIA 22'!C58+'DIA 23'!C58+'DIA 24'!C58+'DIA 25'!C58+'DIA 26'!C58+'DIA 27'!C58+'DIA 28'!C58+'DIA 29'!C58+'DIA 30'!C58</f>
        <v>6390</v>
      </c>
    </row>
    <row r="10" spans="1:7" x14ac:dyDescent="0.25">
      <c r="B10" s="47"/>
    </row>
    <row r="11" spans="1:7" ht="18" x14ac:dyDescent="0.4">
      <c r="A11" s="52" t="s">
        <v>94</v>
      </c>
      <c r="B11" s="61">
        <f>SUM(B5:B9)</f>
        <v>14171.945400000001</v>
      </c>
    </row>
    <row r="14" spans="1:7" ht="18" x14ac:dyDescent="0.4">
      <c r="A14" s="51" t="s">
        <v>95</v>
      </c>
    </row>
    <row r="16" spans="1:7" ht="13" x14ac:dyDescent="0.3">
      <c r="A16" s="57" t="s">
        <v>96</v>
      </c>
      <c r="B16" s="53" t="s">
        <v>3</v>
      </c>
      <c r="C16" s="53" t="s">
        <v>53</v>
      </c>
      <c r="D16" s="53" t="s">
        <v>22</v>
      </c>
      <c r="E16" s="53" t="s">
        <v>97</v>
      </c>
      <c r="F16" s="53" t="s">
        <v>55</v>
      </c>
      <c r="G16" s="53" t="s">
        <v>98</v>
      </c>
    </row>
    <row r="17" spans="1:7" x14ac:dyDescent="0.25">
      <c r="A17" s="62">
        <v>1</v>
      </c>
      <c r="B17" s="63">
        <f>SUM('DIA 1'!C9:C24)</f>
        <v>0</v>
      </c>
      <c r="C17" s="63">
        <f>SUM('DIA 1'!C26:C32)</f>
        <v>0</v>
      </c>
      <c r="D17" s="63">
        <f>SUM('DIA 1'!C34:C36)</f>
        <v>0</v>
      </c>
      <c r="E17" s="63">
        <f>'DIA 1'!C49</f>
        <v>0</v>
      </c>
      <c r="F17" s="63">
        <f>'DIA 1'!C58</f>
        <v>213</v>
      </c>
      <c r="G17" s="63">
        <f t="shared" ref="G17:G46" si="0">SUM(B17:F17)</f>
        <v>213</v>
      </c>
    </row>
    <row r="18" spans="1:7" x14ac:dyDescent="0.25">
      <c r="A18" s="58">
        <v>2</v>
      </c>
      <c r="B18" s="55">
        <f>SUM('DIA 2'!C9:C24)</f>
        <v>0</v>
      </c>
      <c r="C18" s="55">
        <f>SUM('DIA 2'!C26:C32)</f>
        <v>0</v>
      </c>
      <c r="D18" s="55">
        <f>SUM('DIA 2'!C34:C36)</f>
        <v>0</v>
      </c>
      <c r="E18" s="55">
        <f>'DIA 2'!C49</f>
        <v>0</v>
      </c>
      <c r="F18" s="55">
        <f>'DIA 2'!C58</f>
        <v>213</v>
      </c>
      <c r="G18" s="55">
        <f t="shared" si="0"/>
        <v>213</v>
      </c>
    </row>
    <row r="19" spans="1:7" x14ac:dyDescent="0.25">
      <c r="A19" s="62">
        <v>3</v>
      </c>
      <c r="B19" s="63">
        <f>SUM('DIA 3'!C9:C24)</f>
        <v>0</v>
      </c>
      <c r="C19" s="63">
        <f>SUM('DIA 3'!C26:C32)</f>
        <v>0</v>
      </c>
      <c r="D19" s="63">
        <f>SUM('DIA 3'!C34:C36)</f>
        <v>0</v>
      </c>
      <c r="E19" s="63">
        <f>'DIA 3'!C49</f>
        <v>0</v>
      </c>
      <c r="F19" s="63">
        <f>'DIA 3'!C58</f>
        <v>213</v>
      </c>
      <c r="G19" s="63">
        <f t="shared" si="0"/>
        <v>213</v>
      </c>
    </row>
    <row r="20" spans="1:7" x14ac:dyDescent="0.25">
      <c r="A20" s="58">
        <v>4</v>
      </c>
      <c r="B20" s="55">
        <f>SUM('DIA 4'!C9:C24)</f>
        <v>0</v>
      </c>
      <c r="C20" s="55">
        <f>SUM('DIA 4'!C26:C32)</f>
        <v>0</v>
      </c>
      <c r="D20" s="55">
        <f>SUM('DIA 4'!C34:C36)</f>
        <v>0</v>
      </c>
      <c r="E20" s="55">
        <f>'DIA 4'!C49</f>
        <v>0</v>
      </c>
      <c r="F20" s="55">
        <f>'DIA 4'!C58</f>
        <v>213</v>
      </c>
      <c r="G20" s="55">
        <f t="shared" si="0"/>
        <v>213</v>
      </c>
    </row>
    <row r="21" spans="1:7" x14ac:dyDescent="0.25">
      <c r="A21" s="62">
        <v>5</v>
      </c>
      <c r="B21" s="63">
        <f>SUM('DIA 5'!C9:C24)</f>
        <v>0</v>
      </c>
      <c r="C21" s="63">
        <f>SUM('DIA 5'!C26:C32)</f>
        <v>0</v>
      </c>
      <c r="D21" s="63">
        <f>SUM('DIA 5'!C34:C36)</f>
        <v>0</v>
      </c>
      <c r="E21" s="63">
        <f>'DIA 5'!C49</f>
        <v>0</v>
      </c>
      <c r="F21" s="63">
        <f>'DIA 5'!C58</f>
        <v>213</v>
      </c>
      <c r="G21" s="63">
        <f t="shared" si="0"/>
        <v>213</v>
      </c>
    </row>
    <row r="22" spans="1:7" x14ac:dyDescent="0.25">
      <c r="A22" s="58">
        <v>6</v>
      </c>
      <c r="B22" s="55">
        <f>SUM('DIA 6'!C9:C24)</f>
        <v>326.14</v>
      </c>
      <c r="C22" s="55">
        <f>SUM('DIA 6'!C26:C32)</f>
        <v>169</v>
      </c>
      <c r="D22" s="55">
        <f>SUM('DIA 6'!C34:C36)</f>
        <v>499</v>
      </c>
      <c r="E22" s="55">
        <f>'DIA 6'!C49</f>
        <v>259.2</v>
      </c>
      <c r="F22" s="55">
        <f>'DIA 6'!C58</f>
        <v>213</v>
      </c>
      <c r="G22" s="55">
        <f t="shared" si="0"/>
        <v>1466.34</v>
      </c>
    </row>
    <row r="23" spans="1:7" x14ac:dyDescent="0.25">
      <c r="A23" s="62">
        <v>7</v>
      </c>
      <c r="B23" s="63">
        <f>SUM('DIA 7'!C9:C24)</f>
        <v>0</v>
      </c>
      <c r="C23" s="63">
        <f>SUM('DIA 7'!C26:C32)</f>
        <v>0</v>
      </c>
      <c r="D23" s="63">
        <f>SUM('DIA 7'!C34:C36)</f>
        <v>0</v>
      </c>
      <c r="E23" s="63">
        <f>'DIA 7'!C49</f>
        <v>0</v>
      </c>
      <c r="F23" s="63">
        <f>'DIA 7'!C58</f>
        <v>213</v>
      </c>
      <c r="G23" s="63">
        <f t="shared" si="0"/>
        <v>213</v>
      </c>
    </row>
    <row r="24" spans="1:7" x14ac:dyDescent="0.25">
      <c r="A24" s="58">
        <v>8</v>
      </c>
      <c r="B24" s="55">
        <f>SUM('DIA 8'!C9:C24)</f>
        <v>0</v>
      </c>
      <c r="C24" s="55">
        <f>SUM('DIA 8'!C26:C32)</f>
        <v>0</v>
      </c>
      <c r="D24" s="55">
        <f>SUM('DIA 8'!C34:C36)</f>
        <v>0</v>
      </c>
      <c r="E24" s="55">
        <f>'DIA 8'!C49</f>
        <v>0</v>
      </c>
      <c r="F24" s="55">
        <f>'DIA 8'!C58</f>
        <v>213</v>
      </c>
      <c r="G24" s="55">
        <f t="shared" si="0"/>
        <v>213</v>
      </c>
    </row>
    <row r="25" spans="1:7" x14ac:dyDescent="0.25">
      <c r="A25" s="62">
        <v>9</v>
      </c>
      <c r="B25" s="63">
        <f>SUM('DIA 9'!C9:C24)</f>
        <v>0</v>
      </c>
      <c r="C25" s="63">
        <f>SUM('DIA 9'!C26:C32)</f>
        <v>0</v>
      </c>
      <c r="D25" s="63">
        <f>SUM('DIA 9'!C34:C36)</f>
        <v>0</v>
      </c>
      <c r="E25" s="63">
        <f>'DIA 9'!C49</f>
        <v>0</v>
      </c>
      <c r="F25" s="63">
        <f>'DIA 9'!C58</f>
        <v>213</v>
      </c>
      <c r="G25" s="63">
        <f t="shared" si="0"/>
        <v>213</v>
      </c>
    </row>
    <row r="26" spans="1:7" x14ac:dyDescent="0.25">
      <c r="A26" s="58">
        <v>10</v>
      </c>
      <c r="B26" s="55">
        <f>SUM('DIA 10'!C9:C24)</f>
        <v>0</v>
      </c>
      <c r="C26" s="55">
        <f>SUM('DIA 10'!C26:C32)</f>
        <v>0</v>
      </c>
      <c r="D26" s="55">
        <f>SUM('DIA 10'!C34:C36)</f>
        <v>0</v>
      </c>
      <c r="E26" s="55">
        <f>'DIA 10'!C49</f>
        <v>0</v>
      </c>
      <c r="F26" s="55">
        <f>'DIA 10'!C58</f>
        <v>213</v>
      </c>
      <c r="G26" s="55">
        <f t="shared" si="0"/>
        <v>213</v>
      </c>
    </row>
    <row r="27" spans="1:7" x14ac:dyDescent="0.25">
      <c r="A27" s="62">
        <v>11</v>
      </c>
      <c r="B27" s="63">
        <f>SUM('DIA 11'!C9:C24)</f>
        <v>0</v>
      </c>
      <c r="C27" s="63">
        <f>SUM('DIA 11'!C26:C32)</f>
        <v>0</v>
      </c>
      <c r="D27" s="63">
        <f>SUM('DIA 11'!C34:C36)</f>
        <v>0</v>
      </c>
      <c r="E27" s="63">
        <f>'DIA 11'!C49</f>
        <v>0</v>
      </c>
      <c r="F27" s="63">
        <f>'DIA 11'!C58</f>
        <v>213</v>
      </c>
      <c r="G27" s="63">
        <f t="shared" si="0"/>
        <v>213</v>
      </c>
    </row>
    <row r="28" spans="1:7" x14ac:dyDescent="0.25">
      <c r="A28" s="58">
        <v>12</v>
      </c>
      <c r="B28" s="55">
        <f>SUM('DIA 12'!C9:C24)</f>
        <v>0</v>
      </c>
      <c r="C28" s="55">
        <f>SUM('DIA 12'!C26:C32)</f>
        <v>0</v>
      </c>
      <c r="D28" s="55">
        <f>SUM('DIA 12'!C34:C36)</f>
        <v>0</v>
      </c>
      <c r="E28" s="55">
        <f>'DIA 12'!C49</f>
        <v>0</v>
      </c>
      <c r="F28" s="55">
        <f>'DIA 12'!C58</f>
        <v>213</v>
      </c>
      <c r="G28" s="55">
        <f t="shared" si="0"/>
        <v>213</v>
      </c>
    </row>
    <row r="29" spans="1:7" x14ac:dyDescent="0.25">
      <c r="A29" s="62">
        <v>13</v>
      </c>
      <c r="B29" s="63">
        <f>SUM('DIA 13'!C9:C24)</f>
        <v>0</v>
      </c>
      <c r="C29" s="63">
        <f>SUM('DIA 13'!C26:C32)</f>
        <v>0</v>
      </c>
      <c r="D29" s="63">
        <f>SUM('DIA 13'!C34:C36)</f>
        <v>0</v>
      </c>
      <c r="E29" s="63">
        <f>'DIA 13'!C49</f>
        <v>0</v>
      </c>
      <c r="F29" s="63">
        <f>'DIA 13'!C58</f>
        <v>213</v>
      </c>
      <c r="G29" s="63">
        <f t="shared" si="0"/>
        <v>213</v>
      </c>
    </row>
    <row r="30" spans="1:7" x14ac:dyDescent="0.25">
      <c r="A30" s="58">
        <v>14</v>
      </c>
      <c r="B30" s="55">
        <f>SUM('DIA 14'!C9:C24)</f>
        <v>0</v>
      </c>
      <c r="C30" s="55">
        <f>SUM('DIA 14'!C26:C32)</f>
        <v>0</v>
      </c>
      <c r="D30" s="55">
        <f>SUM('DIA 14'!C34:C36)</f>
        <v>0</v>
      </c>
      <c r="E30" s="55">
        <f>'DIA 14'!C49</f>
        <v>0</v>
      </c>
      <c r="F30" s="55">
        <f>'DIA 14'!C58</f>
        <v>213</v>
      </c>
      <c r="G30" s="55">
        <f t="shared" si="0"/>
        <v>213</v>
      </c>
    </row>
    <row r="31" spans="1:7" x14ac:dyDescent="0.25">
      <c r="A31" s="62">
        <v>15</v>
      </c>
      <c r="B31" s="63">
        <f>SUM('DIA 15'!C9:C24)</f>
        <v>0</v>
      </c>
      <c r="C31" s="63">
        <f>SUM('DIA 15'!C26:C32)</f>
        <v>0</v>
      </c>
      <c r="D31" s="63">
        <f>SUM('DIA 15'!C34:C36)</f>
        <v>0</v>
      </c>
      <c r="E31" s="63">
        <f>'DIA 15'!C49</f>
        <v>0</v>
      </c>
      <c r="F31" s="63">
        <f>'DIA 15'!C58</f>
        <v>213</v>
      </c>
      <c r="G31" s="63">
        <f t="shared" si="0"/>
        <v>213</v>
      </c>
    </row>
    <row r="32" spans="1:7" x14ac:dyDescent="0.25">
      <c r="A32" s="58">
        <v>16</v>
      </c>
      <c r="B32" s="55">
        <f>SUM('DIA 16'!C9:C24)</f>
        <v>0</v>
      </c>
      <c r="C32" s="55">
        <f>SUM('DIA 16'!C26:C32)</f>
        <v>0</v>
      </c>
      <c r="D32" s="55">
        <f>SUM('DIA 16'!C34:C36)</f>
        <v>0</v>
      </c>
      <c r="E32" s="55">
        <f>'DIA 16'!C49</f>
        <v>0</v>
      </c>
      <c r="F32" s="55">
        <f>'DIA 16'!C58</f>
        <v>213</v>
      </c>
      <c r="G32" s="55">
        <f t="shared" si="0"/>
        <v>213</v>
      </c>
    </row>
    <row r="33" spans="1:7" x14ac:dyDescent="0.25">
      <c r="A33" s="62">
        <v>17</v>
      </c>
      <c r="B33" s="63">
        <f>SUM('DIA 17'!C9:C24)</f>
        <v>0</v>
      </c>
      <c r="C33" s="63">
        <f>SUM('DIA 17'!C26:C32)</f>
        <v>0</v>
      </c>
      <c r="D33" s="63">
        <f>SUM('DIA 17'!C34:C36)</f>
        <v>0</v>
      </c>
      <c r="E33" s="63">
        <f>'DIA 17'!C49</f>
        <v>0</v>
      </c>
      <c r="F33" s="63">
        <f>'DIA 17'!C58</f>
        <v>213</v>
      </c>
      <c r="G33" s="63">
        <f t="shared" si="0"/>
        <v>213</v>
      </c>
    </row>
    <row r="34" spans="1:7" x14ac:dyDescent="0.25">
      <c r="A34" s="58">
        <v>18</v>
      </c>
      <c r="B34" s="55">
        <f>SUM('DIA 18'!C9:C24)</f>
        <v>0</v>
      </c>
      <c r="C34" s="55">
        <f>SUM('DIA 18'!C26:C32)</f>
        <v>0</v>
      </c>
      <c r="D34" s="55">
        <f>SUM('DIA 18'!C34:C36)</f>
        <v>0</v>
      </c>
      <c r="E34" s="55">
        <f>'DIA 18'!C49</f>
        <v>0</v>
      </c>
      <c r="F34" s="55">
        <f>'DIA 18'!C58</f>
        <v>213</v>
      </c>
      <c r="G34" s="55">
        <f t="shared" si="0"/>
        <v>213</v>
      </c>
    </row>
    <row r="35" spans="1:7" x14ac:dyDescent="0.25">
      <c r="A35" s="62">
        <v>19</v>
      </c>
      <c r="B35" s="63">
        <f>SUM('DIA 19'!C9:C24)</f>
        <v>0</v>
      </c>
      <c r="C35" s="63">
        <f>SUM('DIA 19'!C26:C32)</f>
        <v>0</v>
      </c>
      <c r="D35" s="63">
        <f>SUM('DIA 19'!C34:C36)</f>
        <v>0</v>
      </c>
      <c r="E35" s="63">
        <f>'DIA 19'!C49</f>
        <v>0</v>
      </c>
      <c r="F35" s="63">
        <f>'DIA 19'!C58</f>
        <v>213</v>
      </c>
      <c r="G35" s="63">
        <f t="shared" si="0"/>
        <v>213</v>
      </c>
    </row>
    <row r="36" spans="1:7" x14ac:dyDescent="0.25">
      <c r="A36" s="58">
        <v>20</v>
      </c>
      <c r="B36" s="55">
        <f>SUM('DIA 20'!C9:C24)</f>
        <v>0</v>
      </c>
      <c r="C36" s="55">
        <f>SUM('DIA 20'!C26:C32)</f>
        <v>0</v>
      </c>
      <c r="D36" s="55">
        <f>SUM('DIA 20'!C34:C36)</f>
        <v>0</v>
      </c>
      <c r="E36" s="55">
        <f>'DIA 20'!C49</f>
        <v>0</v>
      </c>
      <c r="F36" s="55">
        <f>'DIA 20'!C58</f>
        <v>213</v>
      </c>
      <c r="G36" s="55">
        <f t="shared" si="0"/>
        <v>213</v>
      </c>
    </row>
    <row r="37" spans="1:7" x14ac:dyDescent="0.25">
      <c r="A37" s="62">
        <v>21</v>
      </c>
      <c r="B37" s="63">
        <f>SUM('DIA 21'!C9:C24)</f>
        <v>0</v>
      </c>
      <c r="C37" s="63">
        <f>SUM('DIA 21'!C26:C32)</f>
        <v>0</v>
      </c>
      <c r="D37" s="63">
        <f>SUM('DIA 21'!C34:C36)</f>
        <v>0</v>
      </c>
      <c r="E37" s="63">
        <f>'DIA 21'!C49</f>
        <v>0</v>
      </c>
      <c r="F37" s="63">
        <f>'DIA 21'!C58</f>
        <v>213</v>
      </c>
      <c r="G37" s="63">
        <f t="shared" si="0"/>
        <v>213</v>
      </c>
    </row>
    <row r="38" spans="1:7" x14ac:dyDescent="0.25">
      <c r="A38" s="58">
        <v>22</v>
      </c>
      <c r="B38" s="55">
        <f>SUM('DIA 22'!C9:C24)</f>
        <v>0</v>
      </c>
      <c r="C38" s="55">
        <f>SUM('DIA 22'!C26:C32)</f>
        <v>0</v>
      </c>
      <c r="D38" s="55">
        <f>SUM('DIA 22'!C34:C36)</f>
        <v>0</v>
      </c>
      <c r="E38" s="55">
        <f>'DIA 22'!C49</f>
        <v>0</v>
      </c>
      <c r="F38" s="55">
        <f>'DIA 22'!C58</f>
        <v>213</v>
      </c>
      <c r="G38" s="55">
        <f t="shared" si="0"/>
        <v>213</v>
      </c>
    </row>
    <row r="39" spans="1:7" x14ac:dyDescent="0.25">
      <c r="A39" s="62">
        <v>23</v>
      </c>
      <c r="B39" s="63">
        <f>SUM('DIA 23'!C9:C24)</f>
        <v>0</v>
      </c>
      <c r="C39" s="63">
        <f>SUM('DIA 23'!C26:C32)</f>
        <v>0</v>
      </c>
      <c r="D39" s="63">
        <f>SUM('DIA 23'!C34:C36)</f>
        <v>0</v>
      </c>
      <c r="E39" s="63">
        <f>'DIA 23'!C49</f>
        <v>0</v>
      </c>
      <c r="F39" s="63">
        <f>'DIA 23'!C58</f>
        <v>213</v>
      </c>
      <c r="G39" s="63">
        <f t="shared" si="0"/>
        <v>213</v>
      </c>
    </row>
    <row r="40" spans="1:7" x14ac:dyDescent="0.25">
      <c r="A40" s="58">
        <v>24</v>
      </c>
      <c r="B40" s="55">
        <f>SUM('DIA 24'!C9:C24)</f>
        <v>0</v>
      </c>
      <c r="C40" s="55">
        <f>SUM('DIA 24'!C26:C32)</f>
        <v>0</v>
      </c>
      <c r="D40" s="55">
        <f>SUM('DIA 24'!C34:C36)</f>
        <v>0</v>
      </c>
      <c r="E40" s="55">
        <f>'DIA 24'!C49</f>
        <v>0</v>
      </c>
      <c r="F40" s="55">
        <f>'DIA 24'!C58</f>
        <v>213</v>
      </c>
      <c r="G40" s="55">
        <f t="shared" si="0"/>
        <v>213</v>
      </c>
    </row>
    <row r="41" spans="1:7" x14ac:dyDescent="0.25">
      <c r="A41" s="62">
        <v>25</v>
      </c>
      <c r="B41" s="63">
        <f>SUM('DIA 25'!C9:C24)</f>
        <v>275.5883</v>
      </c>
      <c r="C41" s="63">
        <f>SUM('DIA 25'!C26:C32)</f>
        <v>142.80500000000001</v>
      </c>
      <c r="D41" s="63">
        <f>SUM('DIA 25'!C34:C36)</f>
        <v>421.65499999999997</v>
      </c>
      <c r="E41" s="63">
        <f>'DIA 25'!C49</f>
        <v>217.72799999999998</v>
      </c>
      <c r="F41" s="63">
        <f>'DIA 25'!C58</f>
        <v>213</v>
      </c>
      <c r="G41" s="63">
        <f t="shared" si="0"/>
        <v>1270.7763</v>
      </c>
    </row>
    <row r="42" spans="1:7" x14ac:dyDescent="0.25">
      <c r="A42" s="58">
        <v>26</v>
      </c>
      <c r="B42" s="55">
        <f>SUM('DIA 26'!C9:C24)</f>
        <v>296.78739999999999</v>
      </c>
      <c r="C42" s="55">
        <f>SUM('DIA 26'!C26:C32)</f>
        <v>153.79000000000002</v>
      </c>
      <c r="D42" s="55">
        <f>SUM('DIA 26'!C34:C36)</f>
        <v>454.09</v>
      </c>
      <c r="E42" s="55">
        <f>'DIA 26'!C49</f>
        <v>235.87200000000001</v>
      </c>
      <c r="F42" s="55">
        <f>'DIA 26'!C58</f>
        <v>213</v>
      </c>
      <c r="G42" s="55">
        <f t="shared" si="0"/>
        <v>1353.5394000000001</v>
      </c>
    </row>
    <row r="43" spans="1:7" x14ac:dyDescent="0.25">
      <c r="A43" s="62">
        <v>27</v>
      </c>
      <c r="B43" s="63">
        <f>SUM('DIA 27'!C9:C24)</f>
        <v>262.54269999999997</v>
      </c>
      <c r="C43" s="63">
        <f>SUM('DIA 27'!C26:C32)</f>
        <v>136.04500000000002</v>
      </c>
      <c r="D43" s="63">
        <f>SUM('DIA 27'!C34:C36)</f>
        <v>401.69500000000005</v>
      </c>
      <c r="E43" s="63">
        <f>'DIA 27'!C49</f>
        <v>208.65600000000001</v>
      </c>
      <c r="F43" s="63">
        <f>'DIA 27'!C58</f>
        <v>213</v>
      </c>
      <c r="G43" s="63">
        <f t="shared" si="0"/>
        <v>1221.9386999999999</v>
      </c>
    </row>
    <row r="44" spans="1:7" x14ac:dyDescent="0.25">
      <c r="A44" s="58">
        <v>28</v>
      </c>
      <c r="B44" s="55">
        <f>SUM('DIA 28'!C9:C24)</f>
        <v>304.9409</v>
      </c>
      <c r="C44" s="55">
        <f>SUM('DIA 28'!C26:C32)</f>
        <v>158.01499999999999</v>
      </c>
      <c r="D44" s="55">
        <f>SUM('DIA 28'!C34:C36)</f>
        <v>466.565</v>
      </c>
      <c r="E44" s="55">
        <f>'DIA 28'!C49</f>
        <v>242.352</v>
      </c>
      <c r="F44" s="55">
        <f>'DIA 28'!C58</f>
        <v>213</v>
      </c>
      <c r="G44" s="55">
        <f t="shared" si="0"/>
        <v>1384.8729000000001</v>
      </c>
    </row>
    <row r="45" spans="1:7" x14ac:dyDescent="0.25">
      <c r="A45" s="62">
        <v>29</v>
      </c>
      <c r="B45" s="63">
        <f>SUM('DIA 29'!C9:C24)</f>
        <v>278.84969999999998</v>
      </c>
      <c r="C45" s="63">
        <f>SUM('DIA 29'!C26:C32)</f>
        <v>144.495</v>
      </c>
      <c r="D45" s="63">
        <f>SUM('DIA 29'!C34:C36)</f>
        <v>426.64499999999998</v>
      </c>
      <c r="E45" s="63">
        <f>'DIA 29'!C49</f>
        <v>221.61599999999999</v>
      </c>
      <c r="F45" s="63">
        <f>'DIA 29'!C58</f>
        <v>213</v>
      </c>
      <c r="G45" s="63">
        <f t="shared" si="0"/>
        <v>1284.6057000000001</v>
      </c>
    </row>
    <row r="46" spans="1:7" x14ac:dyDescent="0.25">
      <c r="A46" s="58">
        <v>30</v>
      </c>
      <c r="B46" s="55">
        <f>SUM('DIA 30'!C9:C24)</f>
        <v>280.48039999999997</v>
      </c>
      <c r="C46" s="55">
        <f>SUM('DIA 30'!C26:C32)</f>
        <v>145.34</v>
      </c>
      <c r="D46" s="55">
        <f>SUM('DIA 30'!C34:C36)</f>
        <v>429.14</v>
      </c>
      <c r="E46" s="55">
        <f>'DIA 30'!C49</f>
        <v>222.91199999999998</v>
      </c>
      <c r="F46" s="55">
        <f>'DIA 30'!C58</f>
        <v>213</v>
      </c>
      <c r="G46" s="55">
        <f t="shared" si="0"/>
        <v>1290.8724</v>
      </c>
    </row>
    <row r="47" spans="1:7" ht="13" x14ac:dyDescent="0.3">
      <c r="A47" s="59" t="s">
        <v>2</v>
      </c>
      <c r="B47" s="56">
        <f t="shared" ref="B47:G47" si="1">SUM(B17:B46)</f>
        <v>2025.3293999999999</v>
      </c>
      <c r="C47" s="56">
        <f t="shared" si="1"/>
        <v>1049.49</v>
      </c>
      <c r="D47" s="56">
        <f t="shared" si="1"/>
        <v>3098.79</v>
      </c>
      <c r="E47" s="56">
        <f t="shared" si="1"/>
        <v>1608.336</v>
      </c>
      <c r="F47" s="56">
        <f t="shared" si="1"/>
        <v>6390</v>
      </c>
      <c r="G47" s="56">
        <f t="shared" si="1"/>
        <v>14171.945400000001</v>
      </c>
    </row>
    <row r="49" spans="1:1" ht="13" x14ac:dyDescent="0.3">
      <c r="A49" s="64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PREÇOS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RESUMO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PULLMAN SP International Airport KC1</dc:creator>
  <cp:lastModifiedBy>David Oliveira</cp:lastModifiedBy>
  <cp:lastPrinted>2026-06-25T18:36:07Z</cp:lastPrinted>
  <dcterms:created xsi:type="dcterms:W3CDTF">2015-08-13T10:57:27Z</dcterms:created>
  <dcterms:modified xsi:type="dcterms:W3CDTF">2026-07-30T22:58:15Z</dcterms:modified>
</cp:coreProperties>
</file>